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Priyanka\Documents\Price_Comp_Dashboard\Compititor's_Price\Core-Products_Prices\"/>
    </mc:Choice>
  </mc:AlternateContent>
  <xr:revisionPtr revIDLastSave="0" documentId="13_ncr:1_{123677A8-95F1-4144-AA0E-32FDA391F584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heet1" sheetId="1" r:id="rId1"/>
  </sheets>
  <calcPr calcId="191029"/>
</workbook>
</file>

<file path=xl/calcChain.xml><?xml version="1.0" encoding="utf-8"?>
<calcChain xmlns="http://schemas.openxmlformats.org/spreadsheetml/2006/main">
  <c r="R14" i="1" l="1"/>
  <c r="P27" i="1"/>
  <c r="P26" i="1"/>
  <c r="P14" i="1"/>
  <c r="N27" i="1"/>
  <c r="N26" i="1"/>
  <c r="N22" i="1"/>
  <c r="N14" i="1"/>
  <c r="L28" i="1"/>
  <c r="L27" i="1"/>
  <c r="L26" i="1"/>
  <c r="L25" i="1"/>
  <c r="L14" i="1"/>
  <c r="H35" i="1"/>
  <c r="H34" i="1"/>
  <c r="H33" i="1"/>
  <c r="H28" i="1"/>
  <c r="H27" i="1"/>
  <c r="H26" i="1"/>
  <c r="H25" i="1"/>
  <c r="H24" i="1"/>
  <c r="H23" i="1"/>
  <c r="H14" i="1"/>
  <c r="J32" i="1"/>
  <c r="J31" i="1"/>
  <c r="J30" i="1"/>
  <c r="J29" i="1"/>
  <c r="J27" i="1"/>
  <c r="J26" i="1"/>
  <c r="J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2" authorId="0" shapeId="0" xr:uid="{4E09D107-23F0-48DD-9847-35EDEB095A52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N2" authorId="0" shapeId="0" xr:uid="{852D977E-91BB-4466-BFB6-335E9E2BD4DF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H3" authorId="0" shapeId="0" xr:uid="{D96BCEB7-7AA0-4105-8735-0A5AC7B00A23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N3" authorId="0" shapeId="0" xr:uid="{32FDE2AE-63F1-4759-92D4-FAA632BADD27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N4" authorId="0" shapeId="0" xr:uid="{599379A8-6BCF-4DEB-BDCE-C46F7368E5BB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H5" authorId="0" shapeId="0" xr:uid="{4F30907E-45B5-42CD-BDD1-C057653C15C2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N5" authorId="0" shapeId="0" xr:uid="{8C57ED0C-20D1-4CA7-BC95-C8FEB8698681}">
      <text>
        <r>
          <rPr>
            <sz val="11"/>
            <color theme="1"/>
            <rFont val="Calibri"/>
            <family val="2"/>
            <scheme val="minor"/>
          </rPr>
          <t>Presale:-34.99 ex vat
======</t>
        </r>
      </text>
    </comment>
    <comment ref="N7" authorId="0" shapeId="0" xr:uid="{C8BA7E7B-32C1-45BE-83BB-B3A3A5C9391C}">
      <text>
        <r>
          <rPr>
            <sz val="11"/>
            <color theme="1"/>
            <rFont val="Calibri"/>
            <family val="2"/>
            <scheme val="minor"/>
          </rPr>
          <t>Presale:-48.99 ex vat
======</t>
        </r>
      </text>
    </comment>
    <comment ref="N8" authorId="0" shapeId="0" xr:uid="{36E9308D-E70A-4E53-A0C3-F3DEBCD9AB37}">
      <text>
        <r>
          <rPr>
            <sz val="11"/>
            <color theme="1"/>
            <rFont val="Calibri"/>
            <family val="2"/>
            <scheme val="minor"/>
          </rPr>
          <t>Presale:-75.24 ex vat
======</t>
        </r>
      </text>
    </comment>
    <comment ref="N9" authorId="0" shapeId="0" xr:uid="{8324CD29-805E-4B30-87E1-15DE65307F59}">
      <text>
        <r>
          <rPr>
            <sz val="11"/>
            <color theme="1"/>
            <rFont val="Calibri"/>
            <family val="2"/>
            <scheme val="minor"/>
          </rPr>
          <t>Presale:-59.99 ex vat
======</t>
        </r>
      </text>
    </comment>
    <comment ref="H10" authorId="0" shapeId="0" xr:uid="{25255956-A722-4D9D-AA59-C6E01292DA25}">
      <text>
        <r>
          <rPr>
            <sz val="11"/>
            <color theme="1"/>
            <rFont val="Calibri"/>
            <family val="2"/>
            <scheme val="minor"/>
          </rPr>
          <t>Presale:-41.66 ex vat
======</t>
        </r>
      </text>
    </comment>
    <comment ref="N10" authorId="0" shapeId="0" xr:uid="{561FB985-51D4-49BC-8643-6C1A9F5C20F6}">
      <text>
        <r>
          <rPr>
            <sz val="11"/>
            <color theme="1"/>
            <rFont val="Calibri"/>
            <family val="2"/>
            <scheme val="minor"/>
          </rPr>
          <t>Presale:-36.42 ex vat
======</t>
        </r>
      </text>
    </comment>
    <comment ref="N11" authorId="0" shapeId="0" xr:uid="{0600FE98-AD5A-478E-A89C-A80320DD17A8}">
      <text>
        <r>
          <rPr>
            <sz val="11"/>
            <color theme="1"/>
            <rFont val="Calibri"/>
            <family val="2"/>
            <scheme val="minor"/>
          </rPr>
          <t>Presale:-39.73 ex vat
======</t>
        </r>
      </text>
    </comment>
    <comment ref="H13" authorId="0" shapeId="0" xr:uid="{34A567F5-5A26-482F-8D5C-6341CDC13890}">
      <text>
        <r>
          <rPr>
            <sz val="11"/>
            <color theme="1"/>
            <rFont val="Calibri"/>
            <family val="2"/>
            <scheme val="minor"/>
          </rPr>
          <t>Presale:-41.66 ex vat
======</t>
        </r>
      </text>
    </comment>
    <comment ref="N15" authorId="0" shapeId="0" xr:uid="{B9C4C0D3-9537-4B60-9FF5-3B5442A1AF50}">
      <text>
        <r>
          <rPr>
            <sz val="11"/>
            <color theme="1"/>
            <rFont val="Calibri"/>
            <family val="2"/>
            <scheme val="minor"/>
          </rPr>
          <t>Presale:-33.00 ex vat
======</t>
        </r>
      </text>
    </comment>
    <comment ref="N16" authorId="0" shapeId="0" xr:uid="{E4244E1D-4630-49D5-AE41-3CF3792D44B6}">
      <text>
        <r>
          <rPr>
            <sz val="11"/>
            <color theme="1"/>
            <rFont val="Calibri"/>
            <family val="2"/>
            <scheme val="minor"/>
          </rPr>
          <t>Presale:-35.67 ex vat
======</t>
        </r>
      </text>
    </comment>
    <comment ref="N17" authorId="0" shapeId="0" xr:uid="{3162A2B2-A2CA-4408-8ABC-C0AF2D314A23}">
      <text>
        <r>
          <rPr>
            <sz val="11"/>
            <color theme="1"/>
            <rFont val="Calibri"/>
            <family val="2"/>
            <scheme val="minor"/>
          </rPr>
          <t>Presale:-38.00 ex vat
======</t>
        </r>
      </text>
    </comment>
    <comment ref="N18" authorId="0" shapeId="0" xr:uid="{F5DC98F5-7407-4440-B5D5-E4D8E7D27203}">
      <text>
        <r>
          <rPr>
            <sz val="11"/>
            <color theme="1"/>
            <rFont val="Calibri"/>
            <family val="2"/>
            <scheme val="minor"/>
          </rPr>
          <t>Presale:-28.50 ex vat
======</t>
        </r>
      </text>
    </comment>
    <comment ref="N19" authorId="0" shapeId="0" xr:uid="{FFED1F26-895D-4ADE-8209-140F599714F1}">
      <text>
        <r>
          <rPr>
            <sz val="11"/>
            <color theme="1"/>
            <rFont val="Calibri"/>
            <family val="2"/>
            <scheme val="minor"/>
          </rPr>
          <t>Presale:-48.70 ex vat
======</t>
        </r>
      </text>
    </comment>
    <comment ref="N20" authorId="0" shapeId="0" xr:uid="{ED317284-520D-4433-9AC5-2F4AF39BEB2F}">
      <text>
        <r>
          <rPr>
            <sz val="11"/>
            <color theme="1"/>
            <rFont val="Calibri"/>
            <family val="2"/>
            <scheme val="minor"/>
          </rPr>
          <t>Presale:-47.39 ex vat
======</t>
        </r>
      </text>
    </comment>
    <comment ref="N22" authorId="0" shapeId="0" xr:uid="{6DCF5DD8-FB1C-4A9F-AFA5-2BF1F3104FBD}">
      <text>
        <r>
          <rPr>
            <sz val="11"/>
            <color theme="1"/>
            <rFont val="Calibri"/>
            <family val="2"/>
            <scheme val="minor"/>
          </rPr>
          <t>Presale:-33.30 EX VAT
======</t>
        </r>
      </text>
    </comment>
    <comment ref="N23" authorId="0" shapeId="0" xr:uid="{63AC180F-4769-47D6-A5C3-01E28C60668F}">
      <text>
        <r>
          <rPr>
            <sz val="11"/>
            <color theme="1"/>
            <rFont val="Calibri"/>
            <family val="2"/>
            <scheme val="minor"/>
          </rPr>
          <t>Presale:-780.24 EX VAT
======</t>
        </r>
      </text>
    </comment>
    <comment ref="N24" authorId="0" shapeId="0" xr:uid="{04C0492A-E7AC-4D6C-8A32-CA6BC0EA7867}">
      <text>
        <r>
          <rPr>
            <sz val="11"/>
            <color theme="1"/>
            <rFont val="Calibri"/>
            <family val="2"/>
            <scheme val="minor"/>
          </rPr>
          <t>Presale:-748.99 EX VAT
======</t>
        </r>
      </text>
    </comment>
    <comment ref="N25" authorId="0" shapeId="0" xr:uid="{D4E8249D-138E-476E-BDB5-1A4676EF1DF8}">
      <text>
        <r>
          <rPr>
            <sz val="11"/>
            <color theme="1"/>
            <rFont val="Calibri"/>
            <family val="2"/>
            <scheme val="minor"/>
          </rPr>
          <t>Presale:-560.18 EX VAT
======</t>
        </r>
      </text>
    </comment>
    <comment ref="N26" authorId="0" shapeId="0" xr:uid="{0394787E-DBB2-48B3-B293-4F5F92D8525F}">
      <text>
        <r>
          <rPr>
            <sz val="11"/>
            <color theme="1"/>
            <rFont val="Calibri"/>
            <family val="2"/>
            <scheme val="minor"/>
          </rPr>
          <t>Presale:-563.16 EX VAT
======</t>
        </r>
      </text>
    </comment>
    <comment ref="H27" authorId="0" shapeId="0" xr:uid="{79A32576-D31C-4926-BE67-ED96EBA80B2F}">
      <text>
        <r>
          <rPr>
            <sz val="11"/>
            <color theme="1"/>
            <rFont val="Calibri"/>
            <family val="2"/>
            <scheme val="minor"/>
          </rPr>
          <t>Presale:-519.9 ex vat
======</t>
        </r>
      </text>
    </comment>
    <comment ref="N27" authorId="0" shapeId="0" xr:uid="{3BC06C8B-B638-4F4C-9785-BC3C79B60AB0}">
      <text>
        <r>
          <rPr>
            <sz val="11"/>
            <color theme="1"/>
            <rFont val="Calibri"/>
            <family val="2"/>
            <scheme val="minor"/>
          </rPr>
          <t>Presale:-499.56 EX VAT
======</t>
        </r>
      </text>
    </comment>
    <comment ref="N28" authorId="0" shapeId="0" xr:uid="{DEDC1BBF-652D-4080-9658-93506B8984C5}">
      <text>
        <r>
          <rPr>
            <sz val="11"/>
            <color theme="1"/>
            <rFont val="Calibri"/>
            <family val="2"/>
            <scheme val="minor"/>
          </rPr>
          <t>Presale:-798.00 EX VAT
======</t>
        </r>
      </text>
    </comment>
    <comment ref="N29" authorId="0" shapeId="0" xr:uid="{076DFDEF-6805-48C1-9233-CF909DAF6E06}">
      <text>
        <r>
          <rPr>
            <sz val="11"/>
            <color theme="1"/>
            <rFont val="Calibri"/>
            <family val="2"/>
            <scheme val="minor"/>
          </rPr>
          <t>Presale:-168.00 ex vat
======</t>
        </r>
      </text>
    </comment>
    <comment ref="N30" authorId="0" shapeId="0" xr:uid="{C7A2248C-909A-464C-90E4-8BCF6386FEBE}">
      <text>
        <r>
          <rPr>
            <sz val="11"/>
            <color theme="1"/>
            <rFont val="Calibri"/>
            <family val="2"/>
            <scheme val="minor"/>
          </rPr>
          <t>Presale:-179.22 ex vat
======</t>
        </r>
      </text>
    </comment>
    <comment ref="N31" authorId="0" shapeId="0" xr:uid="{420862B0-CC47-4F56-8AF3-872FE58115D2}">
      <text>
        <r>
          <rPr>
            <sz val="11"/>
            <color theme="1"/>
            <rFont val="Calibri"/>
            <family val="2"/>
            <scheme val="minor"/>
          </rPr>
          <t>Presale:-155.29 ex vat
======</t>
        </r>
      </text>
    </comment>
    <comment ref="N32" authorId="0" shapeId="0" xr:uid="{9376FB0B-6C91-4339-AA0B-00CD45E08582}">
      <text>
        <r>
          <rPr>
            <sz val="11"/>
            <color theme="1"/>
            <rFont val="Calibri"/>
            <family val="2"/>
            <scheme val="minor"/>
          </rPr>
          <t>Presale:-144.89 ex vat
======</t>
        </r>
      </text>
    </comment>
    <comment ref="N33" authorId="0" shapeId="0" xr:uid="{057ADDEF-29F3-4092-87AF-11B4F4AD4A1F}">
      <text>
        <r>
          <rPr>
            <sz val="11"/>
            <color theme="1"/>
            <rFont val="Calibri"/>
            <family val="2"/>
            <scheme val="minor"/>
          </rPr>
          <t>Presale:-184.20 EX VAT
======</t>
        </r>
      </text>
    </comment>
    <comment ref="N34" authorId="0" shapeId="0" xr:uid="{FCE5CDA0-A774-4E18-83BC-F4B60367E486}">
      <text>
        <r>
          <rPr>
            <sz val="11"/>
            <color theme="1"/>
            <rFont val="Calibri"/>
            <family val="2"/>
            <scheme val="minor"/>
          </rPr>
          <t>Presale:-140.60 EX VAT
======</t>
        </r>
      </text>
    </comment>
    <comment ref="F35" authorId="0" shapeId="0" xr:uid="{0415DCB2-58EC-4F8F-A069-0CDDDAF2E9D6}">
      <text>
        <r>
          <rPr>
            <sz val="11"/>
            <color theme="1"/>
            <rFont val="Calibri"/>
            <family val="2"/>
            <scheme val="minor"/>
          </rPr>
          <t>Presale:-84.95 ex vat
======</t>
        </r>
      </text>
    </comment>
    <comment ref="N35" authorId="0" shapeId="0" xr:uid="{920F5407-056B-4A98-99EF-C8A39BBE3298}">
      <text>
        <r>
          <rPr>
            <sz val="11"/>
            <color theme="1"/>
            <rFont val="Calibri"/>
            <family val="2"/>
            <scheme val="minor"/>
          </rPr>
          <t>Presale:-91.20 EX VAT
======</t>
        </r>
      </text>
    </comment>
    <comment ref="N36" authorId="0" shapeId="0" xr:uid="{0E634F3A-F008-410F-B423-CF78139F79D5}">
      <text>
        <r>
          <rPr>
            <sz val="11"/>
            <color theme="1"/>
            <rFont val="Calibri"/>
            <family val="2"/>
            <scheme val="minor"/>
          </rPr>
          <t>Presale:-10.70 EX VAT
======</t>
        </r>
      </text>
    </comment>
  </commentList>
</comments>
</file>

<file path=xl/sharedStrings.xml><?xml version="1.0" encoding="utf-8"?>
<sst xmlns="http://schemas.openxmlformats.org/spreadsheetml/2006/main" count="541" uniqueCount="314">
  <si>
    <t>SKU</t>
  </si>
  <si>
    <t>Product</t>
  </si>
  <si>
    <t>I4L</t>
  </si>
  <si>
    <t>Insulation Superstore</t>
  </si>
  <si>
    <t>Insulation Hub</t>
  </si>
  <si>
    <t>Online Insulation Sales</t>
  </si>
  <si>
    <t>Building Materials</t>
  </si>
  <si>
    <t>Trade Insulations</t>
  </si>
  <si>
    <t>Materials Market</t>
  </si>
  <si>
    <t>Insulation Wholesale</t>
  </si>
  <si>
    <t>knea100</t>
  </si>
  <si>
    <t>Knauf Earthwool Loft Roll 44 Combi-Cut - 100mm (13.89m2 roll)</t>
  </si>
  <si>
    <t>Price Not Found</t>
  </si>
  <si>
    <t>£29.95</t>
  </si>
  <si>
    <t>£29.99 presale price: £34.99</t>
  </si>
  <si>
    <t>£27.88</t>
  </si>
  <si>
    <t>£52.60</t>
  </si>
  <si>
    <t>£28.75</t>
  </si>
  <si>
    <t>28.96</t>
  </si>
  <si>
    <t>£31.08</t>
  </si>
  <si>
    <t>Knea150</t>
  </si>
  <si>
    <t>Knauf Earthwool Loft Roll 44 Combi-Cut - 150mm (9.18m2)</t>
  </si>
  <si>
    <t>£28.53</t>
  </si>
  <si>
    <t>£50.94</t>
  </si>
  <si>
    <t>£31.58</t>
  </si>
  <si>
    <t>Knea170</t>
  </si>
  <si>
    <t>Knauf Earthwool Loft Roll 44 Combi-Cut - 170mm (8.01m2 roll)</t>
  </si>
  <si>
    <t>£28.95</t>
  </si>
  <si>
    <t>£43.33</t>
  </si>
  <si>
    <t>£29.43</t>
  </si>
  <si>
    <t>No Link</t>
  </si>
  <si>
    <t>29.50</t>
  </si>
  <si>
    <t>KNEA200N</t>
  </si>
  <si>
    <t>Knauf Loft Roll 44 Combi-Cut 200mm (6.84m2)</t>
  </si>
  <si>
    <t>£28.46</t>
  </si>
  <si>
    <t>£51.38</t>
  </si>
  <si>
    <t>£32.62</t>
  </si>
  <si>
    <t>KNAPR25N</t>
  </si>
  <si>
    <t>Knauf Acoustic Partition Roll 25mm 4 x 600mm (26.64m2)</t>
  </si>
  <si>
    <t>£44.95</t>
  </si>
  <si>
    <t>£43.99</t>
  </si>
  <si>
    <t>£43.70</t>
  </si>
  <si>
    <t>£47.09</t>
  </si>
  <si>
    <t>£42.99</t>
  </si>
  <si>
    <t>45.29</t>
  </si>
  <si>
    <t>£43.00</t>
  </si>
  <si>
    <t>KNAPR50N</t>
  </si>
  <si>
    <t>Knauf Acoustic Partition Roll 50mm 2 x 600mm (16.2m2)</t>
  </si>
  <si>
    <t>£43.50</t>
  </si>
  <si>
    <t>£41.41</t>
  </si>
  <si>
    <t>£65.90</t>
  </si>
  <si>
    <t>£42.61</t>
  </si>
  <si>
    <t>46.66</t>
  </si>
  <si>
    <t>£44.99</t>
  </si>
  <si>
    <t>KNAPR75N</t>
  </si>
  <si>
    <t>Knauf Acoustic Partition Roll 75mm 2 x 600mm (17.4m2)</t>
  </si>
  <si>
    <t>£56.95</t>
  </si>
  <si>
    <t>£62.49</t>
  </si>
  <si>
    <t>£62.29</t>
  </si>
  <si>
    <t>£87.49</t>
  </si>
  <si>
    <t>£58.50</t>
  </si>
  <si>
    <t>60.03</t>
  </si>
  <si>
    <t>£54.99</t>
  </si>
  <si>
    <t>KNAPR100N</t>
  </si>
  <si>
    <t>Knauf Acoustic Partition Roll 100mm 2 x 600mm (12.36m2)</t>
  </si>
  <si>
    <t>£48.95</t>
  </si>
  <si>
    <t>£59.99</t>
  </si>
  <si>
    <t>£57.78</t>
  </si>
  <si>
    <t>£81.10</t>
  </si>
  <si>
    <t>£52.50</t>
  </si>
  <si>
    <t>53.77</t>
  </si>
  <si>
    <t>£53.99</t>
  </si>
  <si>
    <t>D-32-100mm</t>
  </si>
  <si>
    <t>Knauf DriTherm 32 100mm x 1.2m x 0.455m (3.28m2)</t>
  </si>
  <si>
    <t>£34.95</t>
  </si>
  <si>
    <t>£39.16 presale price: £41.66</t>
  </si>
  <si>
    <t>£33.33</t>
  </si>
  <si>
    <t>£48.05</t>
  </si>
  <si>
    <t>£34.17</t>
  </si>
  <si>
    <t>35.43</t>
  </si>
  <si>
    <t>£35.88</t>
  </si>
  <si>
    <t>DT32150s</t>
  </si>
  <si>
    <t xml:space="preserve">Knauf DriTherm 32 150mm x 1.2m x 0.455m (2.18m2) </t>
  </si>
  <si>
    <t>£35.50</t>
  </si>
  <si>
    <t>£63.91</t>
  </si>
  <si>
    <t>£32.00</t>
  </si>
  <si>
    <t>£33.91</t>
  </si>
  <si>
    <t>36.06</t>
  </si>
  <si>
    <t>£36.88</t>
  </si>
  <si>
    <t>D-37-75mm</t>
  </si>
  <si>
    <t>Knauf DriTherm 37 75mm x 1.2m x 0.455m (4.37m2)</t>
  </si>
  <si>
    <t>£17.50</t>
  </si>
  <si>
    <t>£22.49</t>
  </si>
  <si>
    <t>£27.94</t>
  </si>
  <si>
    <t>£17.33</t>
  </si>
  <si>
    <t>18.18</t>
  </si>
  <si>
    <t>D-37-100mm</t>
  </si>
  <si>
    <t>Knauf DriTherm 37 100mm x 1.2m x 0.455m (6.55m2)</t>
  </si>
  <si>
    <t>£33.95</t>
  </si>
  <si>
    <t>£33.33 presale price: £41.66</t>
  </si>
  <si>
    <t>£32.08</t>
  </si>
  <si>
    <t>£60.31</t>
  </si>
  <si>
    <t>£33.30</t>
  </si>
  <si>
    <t>34.26</t>
  </si>
  <si>
    <t>D-37-150mm</t>
  </si>
  <si>
    <t>Knauf DriTherm 37 150mm x 1.2m x 0.455m (4.37m2) (25 P/Pal)</t>
  </si>
  <si>
    <t>£51.63</t>
  </si>
  <si>
    <t>£34.00</t>
  </si>
  <si>
    <t>£49.71</t>
  </si>
  <si>
    <t>£33.88</t>
  </si>
  <si>
    <t>47.90</t>
  </si>
  <si>
    <t>RWA4525s</t>
  </si>
  <si>
    <t>Rockwool RWA45 25mm x 1.2m x 0.6m (11.52m2)</t>
  </si>
  <si>
    <t>£24.95</t>
  </si>
  <si>
    <t>£28.59</t>
  </si>
  <si>
    <t>£24.58</t>
  </si>
  <si>
    <t>£26.13</t>
  </si>
  <si>
    <t>£25.87</t>
  </si>
  <si>
    <t>29.72</t>
  </si>
  <si>
    <t>POA</t>
  </si>
  <si>
    <t>rwa4550</t>
  </si>
  <si>
    <t>Rockwool RWA45 50mm x 1200mm x 600mm (1 Pack)</t>
  </si>
  <si>
    <t>£27.50</t>
  </si>
  <si>
    <t>£27.29</t>
  </si>
  <si>
    <t>£24.88</t>
  </si>
  <si>
    <t>£28.70</t>
  </si>
  <si>
    <t>£27.34</t>
  </si>
  <si>
    <t>27.09</t>
  </si>
  <si>
    <t>£27.24</t>
  </si>
  <si>
    <t>rwa4575</t>
  </si>
  <si>
    <t>Rockwool RWA45 75mm x 1200mm x 600mm (1 Pack)</t>
  </si>
  <si>
    <t>£25.83</t>
  </si>
  <si>
    <t>£28.62</t>
  </si>
  <si>
    <t>£26.26</t>
  </si>
  <si>
    <t>26.78</t>
  </si>
  <si>
    <t>£25.74</t>
  </si>
  <si>
    <t>rwa45100</t>
  </si>
  <si>
    <t>Rockwool RWA45 100mm x 1200mm x 600mm (1 Pack)</t>
  </si>
  <si>
    <t>£21.50</t>
  </si>
  <si>
    <t>£21.66</t>
  </si>
  <si>
    <t>£21.46</t>
  </si>
  <si>
    <t>£24.72</t>
  </si>
  <si>
    <t>£22.80</t>
  </si>
  <si>
    <t>23.33</t>
  </si>
  <si>
    <t>£23.43</t>
  </si>
  <si>
    <t>rwfl50.6</t>
  </si>
  <si>
    <t>Rockwool Flexi Slab 50mm x 1.2m x 0.6m (8.64m2)</t>
  </si>
  <si>
    <t>£41.50</t>
  </si>
  <si>
    <t>£43.39</t>
  </si>
  <si>
    <t>£36.73</t>
  </si>
  <si>
    <t>£43.82</t>
  </si>
  <si>
    <t>£40.59</t>
  </si>
  <si>
    <t>41.21</t>
  </si>
  <si>
    <t>£39.44</t>
  </si>
  <si>
    <t>rwfl100.6</t>
  </si>
  <si>
    <t>Rockwool Flexi-Slab 100mm x 1200mm x 600mm (1 pack)</t>
  </si>
  <si>
    <t>£42.03</t>
  </si>
  <si>
    <t>£38.74</t>
  </si>
  <si>
    <t>£43.40</t>
  </si>
  <si>
    <t>£39.49</t>
  </si>
  <si>
    <t>41.30</t>
  </si>
  <si>
    <t>£38.68</t>
  </si>
  <si>
    <t>rwfl140.6</t>
  </si>
  <si>
    <t>Rockwool Flexi-Slab 140mm x 1200mm x 600mm (1 pack)</t>
  </si>
  <si>
    <t>£37.95</t>
  </si>
  <si>
    <t>£39.77</t>
  </si>
  <si>
    <t>£35.29</t>
  </si>
  <si>
    <t>£40.47</t>
  </si>
  <si>
    <t>£38.09</t>
  </si>
  <si>
    <t>38.82</t>
  </si>
  <si>
    <t>£38.00</t>
  </si>
  <si>
    <t>rwfl100400</t>
  </si>
  <si>
    <t>Rockwool Flexi Slab 100mm x 1.2m x 0.4m (2.88m2)</t>
  </si>
  <si>
    <t>POA or OOS</t>
  </si>
  <si>
    <t>£832.56</t>
  </si>
  <si>
    <t>RWFL50.4</t>
  </si>
  <si>
    <t>Rockwool Flexi-Slab 50mm x 1200mm x 400mm (24 packs per pallet)</t>
  </si>
  <si>
    <t>£1041.4</t>
  </si>
  <si>
    <t>£650.20</t>
  </si>
  <si>
    <t>RWFL140.4</t>
  </si>
  <si>
    <t>Rockwool Flexi-Slab 140mm x 1200mm x 400mm (24 Packs per pallet)</t>
  </si>
  <si>
    <t>£649.95</t>
  </si>
  <si>
    <t>£954.6</t>
  </si>
  <si>
    <t>£624.16</t>
  </si>
  <si>
    <t xml:space="preserve">RW340 </t>
  </si>
  <si>
    <t>Rockwool RW3 40mm x 1.2m x 0.6m (7.20m2) (12 P/Pal)</t>
  </si>
  <si>
    <t>£52.0</t>
  </si>
  <si>
    <t>£38.15</t>
  </si>
  <si>
    <t>£466.82</t>
  </si>
  <si>
    <t>47.52</t>
  </si>
  <si>
    <t xml:space="preserve">RW375 </t>
  </si>
  <si>
    <t>Rockwool RW3 75mm x 1.2m x 0.6m (4.32m2) (12 P/Pal)</t>
  </si>
  <si>
    <t>£39.10</t>
  </si>
  <si>
    <t>£41.43</t>
  </si>
  <si>
    <t>£39.11</t>
  </si>
  <si>
    <t>44.54</t>
  </si>
  <si>
    <t xml:space="preserve">RW3100 </t>
  </si>
  <si>
    <t>Rockwool RW3 100mm x 1.2m x 0.6m (2.88m2) (12 P/Pal)</t>
  </si>
  <si>
    <t>£434.95</t>
  </si>
  <si>
    <t>£32.08 presale price: £43.33</t>
  </si>
  <si>
    <t>£34.69</t>
  </si>
  <si>
    <t>£37.25</t>
  </si>
  <si>
    <t>37.73</t>
  </si>
  <si>
    <t>RW550</t>
  </si>
  <si>
    <t>Rockwool RW5 50mm x 1.2m x 0.6m (2.88m2) (24 P/Pal)</t>
  </si>
  <si>
    <t>£39.13</t>
  </si>
  <si>
    <t>£668.62</t>
  </si>
  <si>
    <t>£34.02</t>
  </si>
  <si>
    <t>£677.30</t>
  </si>
  <si>
    <t>31.13</t>
  </si>
  <si>
    <t>TF70 50mm</t>
  </si>
  <si>
    <t>Kingspan Thermafloor TF70 Floor Board 50mm (6 boards) 2.4m x 1.2m</t>
  </si>
  <si>
    <t>£169.95</t>
  </si>
  <si>
    <t>£25.94</t>
  </si>
  <si>
    <t>£166.25</t>
  </si>
  <si>
    <t>31.54</t>
  </si>
  <si>
    <t>£160.00</t>
  </si>
  <si>
    <t>TF70 75mm</t>
  </si>
  <si>
    <t>Kingspan TF70 75mm x 2.4m x 1.2m (4 Sh / 11.52m2)</t>
  </si>
  <si>
    <t>£164.95</t>
  </si>
  <si>
    <t>£35.23</t>
  </si>
  <si>
    <t>£143.42</t>
  </si>
  <si>
    <t>45.58</t>
  </si>
  <si>
    <t>£155.00</t>
  </si>
  <si>
    <t>TF70 100mm</t>
  </si>
  <si>
    <t>Kingspan Thermafloor TF70 Floor Board 100mm (3 boards) 2.4m x 1.2m</t>
  </si>
  <si>
    <t>£43.68</t>
  </si>
  <si>
    <t>£129.56</t>
  </si>
  <si>
    <t>54.93</t>
  </si>
  <si>
    <t>£140.00</t>
  </si>
  <si>
    <t>TF70 120mm</t>
  </si>
  <si>
    <t>Kingspan TF70 120mm x 2.4m x 1.2m (2 Sh / 5.76m2)</t>
  </si>
  <si>
    <t>£53.17</t>
  </si>
  <si>
    <t>£107.58</t>
  </si>
  <si>
    <t>65.98</t>
  </si>
  <si>
    <t>£114.00</t>
  </si>
  <si>
    <t>TR27 100mm</t>
  </si>
  <si>
    <t>Kingspan TR27 100mm X 1.2m x 1.2m (4 Sh / 5.76m2)</t>
  </si>
  <si>
    <t>£159.95</t>
  </si>
  <si>
    <t>£37.08</t>
  </si>
  <si>
    <t>£147.29</t>
  </si>
  <si>
    <t>£167.27</t>
  </si>
  <si>
    <t>£142.96</t>
  </si>
  <si>
    <t>186.32</t>
  </si>
  <si>
    <t>£144.00</t>
  </si>
  <si>
    <t>TR27 150mm</t>
  </si>
  <si>
    <t>Kingspan TR27 150mm x 1.2m x 1.2m (2 Sh / 2.88m2)</t>
  </si>
  <si>
    <t>£119.95</t>
  </si>
  <si>
    <t>£54.58</t>
  </si>
  <si>
    <t>£109.04</t>
  </si>
  <si>
    <t>£118.39</t>
  </si>
  <si>
    <t>£101.32</t>
  </si>
  <si>
    <t>137.34</t>
  </si>
  <si>
    <t>£102.00</t>
  </si>
  <si>
    <t>K10690</t>
  </si>
  <si>
    <t>Kingspan K106 90mm</t>
  </si>
  <si>
    <t>£79.95</t>
  </si>
  <si>
    <t>£19.25</t>
  </si>
  <si>
    <t>£77.04</t>
  </si>
  <si>
    <t xml:space="preserve">Error: Message: 
Stacktrace:
	GetHandleVerifier [0x00007FF7ACA2CF65+75717]
	GetHandleVerifier [0x00007FF7ACA2CFC0+75808]
	(No symbol) [0x00007FF7AC7F8F9A]
	(No symbol) [0x00007FF7AC84F4C6]
	(No symbol) [0x00007FF7AC84F77C]
	(No symbol) [0x00007FF7AC8A2577]
	(No symbol) [0x00007FF7AC8773BF]
	(No symbol) [0x00007FF7AC89F39C]
	(No symbol) [0x00007FF7AC877153]
	(No symbol) [0x00007FF7AC840421]
	(No symbol) [0x00007FF7AC8411B3]
	GetHandleVerifier [0x00007FF7ACD2D74D+3223469]
	GetHandleVerifier [0x00007FF7ACD27CF2+3200338]
	GetHandleVerifier [0x00007FF7ACD45B23+3322755]
	GetHandleVerifier [0x00007FF7ACA46A3A+180890]
	GetHandleVerifier [0x00007FF7ACA4E13F+211359]
	GetHandleVerifier [0x00007FF7ACA352B4+109332]
	GetHandleVerifier [0x00007FF7ACA35462+109762]
	GetHandleVerifier [0x00007FF7ACA1BA79+4825]
	BaseThreadInitThunk [0x00007FFBE248E8D7+23]
	RtlUserThreadStart [0x00007FFBE321C5DC+44]
</t>
  </si>
  <si>
    <t>89.77</t>
  </si>
  <si>
    <t>£80.88</t>
  </si>
  <si>
    <t>Knte12.551200x2400</t>
  </si>
  <si>
    <t xml:space="preserve">Knauf Wallboard Tapered Edge 12.5mm x 1200mm x 2400mm </t>
  </si>
  <si>
    <t>£9.50</t>
  </si>
  <si>
    <t>£9.23</t>
  </si>
  <si>
    <t>£8.58</t>
  </si>
  <si>
    <t>£9.35</t>
  </si>
  <si>
    <t>9.35</t>
  </si>
  <si>
    <t>£9.15</t>
  </si>
  <si>
    <t>sqt75</t>
  </si>
  <si>
    <t xml:space="preserve">Foil Tape 75mm x 45m </t>
  </si>
  <si>
    <t>£11.25</t>
  </si>
  <si>
    <t>£6.42</t>
  </si>
  <si>
    <t>£11.40</t>
  </si>
  <si>
    <t>5.99</t>
  </si>
  <si>
    <t>£4.55</t>
  </si>
  <si>
    <t>knbond/adh25</t>
  </si>
  <si>
    <t>Knauf Bonding Compound Plasterboard Adhesive 25Kg</t>
  </si>
  <si>
    <t>£8.95</t>
  </si>
  <si>
    <t>£9.36</t>
  </si>
  <si>
    <t>£12.99</t>
  </si>
  <si>
    <t>9.81</t>
  </si>
  <si>
    <t>£14.99</t>
  </si>
  <si>
    <t>gypmf</t>
  </si>
  <si>
    <t>BG Thistle Multi-Finish 25Kg</t>
  </si>
  <si>
    <t>£11.50</t>
  </si>
  <si>
    <t>£9.58</t>
  </si>
  <si>
    <t>£8.53</t>
  </si>
  <si>
    <t>£10.28</t>
  </si>
  <si>
    <t>9.15</t>
  </si>
  <si>
    <t>£9.19</t>
  </si>
  <si>
    <t>GY/FB-15-2.4-TE</t>
  </si>
  <si>
    <t>Gypfor Fire Plasterboard 15mm x 2.4m x 1.2m TE</t>
  </si>
  <si>
    <t>£14.38</t>
  </si>
  <si>
    <t>gypfire12</t>
  </si>
  <si>
    <t>Gypfor Fire Plasterboard 12.5mm x 2.4m x 1.2m TE</t>
  </si>
  <si>
    <t>£11.53</t>
  </si>
  <si>
    <t>GFMB1252412TE</t>
  </si>
  <si>
    <t>Gypfor Moisture Board 12.5mm x 2.4m x 1.2m TE</t>
  </si>
  <si>
    <t>£11.88</t>
  </si>
  <si>
    <t>gypfor125se</t>
  </si>
  <si>
    <t>Gypfor Plasterboard 12.5mm x 2.4m x 1.2m SE</t>
  </si>
  <si>
    <t>£9.33</t>
  </si>
  <si>
    <t>GFPB152412SE</t>
  </si>
  <si>
    <t>Gypfor Plasterboard 15mm x 2.4m x 1.2m SE</t>
  </si>
  <si>
    <t>£11.36</t>
  </si>
  <si>
    <t>gypsound12</t>
  </si>
  <si>
    <t>Gypfor Sound Board 12.5mm x 2.4m x 1.2m TE</t>
  </si>
  <si>
    <t>£12.63</t>
  </si>
  <si>
    <t>GFSB152412</t>
  </si>
  <si>
    <t>Gypfor Sound Board 15mm x 2.4m x 1.2m TE</t>
  </si>
  <si>
    <t>£15.40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</si>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</sst>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C0000"/>
        <bgColor rgb="FFCC0000"/>
      </patternFill>
    </fill>
    <fill>
      <patternFill patternType="solid">
        <fgColor rgb="FFE06666"/>
        <bgColor rgb="FFE06666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vertical="top" wrapText="1"/>
    </xf>
    <xf numFmtId="0" fontId="0" fillId="0" borderId="0" xfId="0" applyAlignment="1"/>
    <xf numFmtId="2" fontId="4" fillId="2" borderId="0" xfId="0" applyNumberFormat="1" applyFont="1" applyFill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3" fillId="0" borderId="0" xfId="0" applyFont="1"/>
    <xf numFmtId="2" fontId="5" fillId="2" borderId="0" xfId="0" applyNumberFormat="1" applyFont="1" applyFill="1" applyAlignment="1">
      <alignment horizontal="center"/>
    </xf>
    <xf numFmtId="0" fontId="3" fillId="0" borderId="0" xfId="0" applyFont="1" applyAlignment="1">
      <alignment horizontal="center"/>
    </xf>
    <xf numFmtId="2" fontId="6" fillId="2" borderId="0" xfId="0" applyNumberFormat="1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3" borderId="0" xfId="0" applyFont="1" applyFill="1" applyAlignment="1">
      <alignment horizontal="center"/>
    </xf>
    <xf numFmtId="0" fontId="4" fillId="4" borderId="0" xfId="0" applyFont="1" applyFill="1" applyAlignment="1">
      <alignment horizontal="center"/>
    </xf>
    <xf numFmtId="0" fontId="6" fillId="2" borderId="0" xfId="0" applyFont="1" applyFill="1" applyAlignment="1">
      <alignment horizontal="center"/>
    </xf>
  </cellXfs>
  <cellStyles count="1">
    <cellStyle name="Normal" xfId="0" builtinId="0"/>
  </cellStyles>
  <dxfs count="13"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00FF00"/>
          <bgColor rgb="FF00FF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46"/>
  <sheetViews>
    <sheetView tabSelected="1" topLeftCell="A11" workbookViewId="0">
      <selection activeCell="Q33" sqref="C33:Q33"/>
    </sheetView>
  </sheetViews>
  <sheetFormatPr defaultRowHeight="15" x14ac:dyDescent="0.25"/>
  <cols>
    <col min="3" max="3" width="64.28515625" bestFit="1" customWidth="1"/>
    <col min="5" max="5" width="11.5703125" customWidth="1"/>
    <col min="6" max="6" width="14.7109375" customWidth="1"/>
    <col min="7" max="8" width="9.28515625" customWidth="1"/>
    <col min="9" max="9" width="15.5703125" customWidth="1"/>
  </cols>
  <sheetData>
    <row r="1" spans="1:18" x14ac:dyDescent="0.25">
      <c r="B1" s="1" t="s">
        <v>0</v>
      </c>
      <c r="C1" s="1" t="s">
        <v>1</v>
      </c>
      <c r="D1" s="1" t="s">
        <v>2</v>
      </c>
      <c r="E1" s="1" t="s">
        <v>3</v>
      </c>
      <c r="G1" s="1" t="s">
        <v>4</v>
      </c>
      <c r="H1" s="1"/>
      <c r="I1" s="1" t="s">
        <v>5</v>
      </c>
      <c r="K1" s="1" t="s">
        <v>6</v>
      </c>
      <c r="L1" s="1"/>
      <c r="M1" s="1" t="s">
        <v>7</v>
      </c>
      <c r="N1" s="1"/>
      <c r="O1" s="1" t="s">
        <v>8</v>
      </c>
      <c r="P1" s="1"/>
      <c r="Q1" s="1" t="s">
        <v>9</v>
      </c>
    </row>
    <row r="2" spans="1:18" x14ac:dyDescent="0.25">
      <c r="A2" s="1">
        <v>0</v>
      </c>
      <c r="B2" t="s">
        <v>10</v>
      </c>
      <c r="C2" t="s">
        <v>11</v>
      </c>
      <c r="D2" t="s">
        <v>12</v>
      </c>
      <c r="E2" t="s">
        <v>13</v>
      </c>
      <c r="F2" s="5">
        <v>29.95</v>
      </c>
      <c r="G2" t="s">
        <v>14</v>
      </c>
      <c r="H2" s="9">
        <v>29.99</v>
      </c>
      <c r="I2" t="s">
        <v>15</v>
      </c>
      <c r="J2" s="5">
        <v>27.88</v>
      </c>
      <c r="K2" t="s">
        <v>16</v>
      </c>
      <c r="L2" s="5">
        <v>52.6</v>
      </c>
      <c r="M2" t="s">
        <v>17</v>
      </c>
      <c r="N2" s="9">
        <v>28.75</v>
      </c>
      <c r="O2" t="s">
        <v>18</v>
      </c>
      <c r="P2" s="5">
        <v>28.96</v>
      </c>
      <c r="Q2" t="s">
        <v>19</v>
      </c>
      <c r="R2" s="12">
        <v>31.08</v>
      </c>
    </row>
    <row r="3" spans="1:18" x14ac:dyDescent="0.25">
      <c r="A3" s="1">
        <v>1</v>
      </c>
      <c r="B3" t="s">
        <v>20</v>
      </c>
      <c r="C3" t="s">
        <v>21</v>
      </c>
      <c r="D3" t="s">
        <v>12</v>
      </c>
      <c r="E3" t="s">
        <v>13</v>
      </c>
      <c r="F3" s="5">
        <v>29.95</v>
      </c>
      <c r="G3" t="s">
        <v>14</v>
      </c>
      <c r="H3" s="9">
        <v>29.99</v>
      </c>
      <c r="I3" t="s">
        <v>22</v>
      </c>
      <c r="J3" s="5">
        <v>28.53</v>
      </c>
      <c r="K3" t="s">
        <v>23</v>
      </c>
      <c r="L3" s="5">
        <v>50.94</v>
      </c>
      <c r="M3" t="s">
        <v>17</v>
      </c>
      <c r="N3" s="9">
        <v>28.75</v>
      </c>
      <c r="O3" t="s">
        <v>18</v>
      </c>
      <c r="P3" s="5">
        <v>28.96</v>
      </c>
      <c r="Q3" t="s">
        <v>24</v>
      </c>
      <c r="R3" s="12">
        <v>31.58</v>
      </c>
    </row>
    <row r="4" spans="1:18" x14ac:dyDescent="0.25">
      <c r="A4" s="1">
        <v>2</v>
      </c>
      <c r="B4" t="s">
        <v>25</v>
      </c>
      <c r="C4" t="s">
        <v>26</v>
      </c>
      <c r="D4" t="s">
        <v>12</v>
      </c>
      <c r="E4" t="s">
        <v>27</v>
      </c>
      <c r="F4" s="5">
        <v>28.95</v>
      </c>
      <c r="G4" t="s">
        <v>28</v>
      </c>
      <c r="H4" s="5">
        <v>43.33</v>
      </c>
      <c r="I4" t="s">
        <v>29</v>
      </c>
      <c r="J4" s="5">
        <v>29.43</v>
      </c>
      <c r="K4" t="s">
        <v>30</v>
      </c>
      <c r="L4" s="6" t="s">
        <v>313</v>
      </c>
      <c r="M4" t="s">
        <v>17</v>
      </c>
      <c r="N4" s="9">
        <v>28.75</v>
      </c>
      <c r="O4" t="s">
        <v>31</v>
      </c>
      <c r="P4" s="5">
        <v>29.5</v>
      </c>
      <c r="Q4" t="s">
        <v>30</v>
      </c>
      <c r="R4" s="6" t="s">
        <v>313</v>
      </c>
    </row>
    <row r="5" spans="1:18" x14ac:dyDescent="0.25">
      <c r="A5" s="1">
        <v>3</v>
      </c>
      <c r="B5" t="s">
        <v>32</v>
      </c>
      <c r="C5" t="s">
        <v>33</v>
      </c>
      <c r="D5" t="s">
        <v>12</v>
      </c>
      <c r="E5" t="s">
        <v>13</v>
      </c>
      <c r="F5" s="5">
        <v>29.95</v>
      </c>
      <c r="G5" t="s">
        <v>14</v>
      </c>
      <c r="H5" s="9">
        <v>29.99</v>
      </c>
      <c r="I5" t="s">
        <v>34</v>
      </c>
      <c r="J5" s="5">
        <v>28.46</v>
      </c>
      <c r="K5" t="s">
        <v>35</v>
      </c>
      <c r="L5" s="5">
        <v>51.38</v>
      </c>
      <c r="M5" t="s">
        <v>17</v>
      </c>
      <c r="N5" s="9">
        <v>28.75</v>
      </c>
      <c r="O5" t="s">
        <v>18</v>
      </c>
      <c r="P5" s="5">
        <v>28.96</v>
      </c>
      <c r="Q5" t="s">
        <v>36</v>
      </c>
      <c r="R5" s="12">
        <v>32.619999999999997</v>
      </c>
    </row>
    <row r="6" spans="1:18" x14ac:dyDescent="0.25">
      <c r="A6" s="1">
        <v>4</v>
      </c>
      <c r="B6" t="s">
        <v>37</v>
      </c>
      <c r="C6" t="s">
        <v>38</v>
      </c>
      <c r="D6" t="s">
        <v>12</v>
      </c>
      <c r="E6" t="s">
        <v>39</v>
      </c>
      <c r="F6" s="5">
        <v>44.95</v>
      </c>
      <c r="G6" t="s">
        <v>40</v>
      </c>
      <c r="H6" s="5">
        <v>43.99</v>
      </c>
      <c r="I6" t="s">
        <v>41</v>
      </c>
      <c r="J6" s="5">
        <v>43.7</v>
      </c>
      <c r="K6" t="s">
        <v>42</v>
      </c>
      <c r="L6" s="5">
        <v>47.09</v>
      </c>
      <c r="M6" t="s">
        <v>43</v>
      </c>
      <c r="N6" s="5" t="s">
        <v>313</v>
      </c>
      <c r="O6" t="s">
        <v>44</v>
      </c>
      <c r="P6" s="5">
        <v>45.29</v>
      </c>
      <c r="Q6" t="s">
        <v>45</v>
      </c>
      <c r="R6" s="12">
        <v>43</v>
      </c>
    </row>
    <row r="7" spans="1:18" x14ac:dyDescent="0.25">
      <c r="A7" s="1">
        <v>5</v>
      </c>
      <c r="B7" t="s">
        <v>46</v>
      </c>
      <c r="C7" t="s">
        <v>47</v>
      </c>
      <c r="D7" t="s">
        <v>12</v>
      </c>
      <c r="E7" t="s">
        <v>48</v>
      </c>
      <c r="F7" s="5">
        <v>43.5</v>
      </c>
      <c r="G7" t="s">
        <v>40</v>
      </c>
      <c r="H7" s="5">
        <v>43.99</v>
      </c>
      <c r="I7" t="s">
        <v>49</v>
      </c>
      <c r="J7" s="5">
        <v>41.41</v>
      </c>
      <c r="K7" t="s">
        <v>50</v>
      </c>
      <c r="L7" s="5">
        <v>65.900000000000006</v>
      </c>
      <c r="M7" t="s">
        <v>51</v>
      </c>
      <c r="N7" s="9">
        <v>42.99</v>
      </c>
      <c r="O7" t="s">
        <v>52</v>
      </c>
      <c r="P7" s="5">
        <v>46.66</v>
      </c>
      <c r="Q7" t="s">
        <v>53</v>
      </c>
      <c r="R7" s="12">
        <v>44.99</v>
      </c>
    </row>
    <row r="8" spans="1:18" x14ac:dyDescent="0.25">
      <c r="A8" s="1">
        <v>6</v>
      </c>
      <c r="B8" t="s">
        <v>54</v>
      </c>
      <c r="C8" t="s">
        <v>55</v>
      </c>
      <c r="D8" t="s">
        <v>12</v>
      </c>
      <c r="E8" t="s">
        <v>56</v>
      </c>
      <c r="F8" s="5">
        <v>56.95</v>
      </c>
      <c r="G8" t="s">
        <v>57</v>
      </c>
      <c r="H8" s="5">
        <v>62.49</v>
      </c>
      <c r="I8" t="s">
        <v>58</v>
      </c>
      <c r="J8" s="5">
        <v>62.29</v>
      </c>
      <c r="K8" t="s">
        <v>59</v>
      </c>
      <c r="L8" s="5">
        <v>87.49</v>
      </c>
      <c r="M8" t="s">
        <v>60</v>
      </c>
      <c r="N8" s="9">
        <v>59.99</v>
      </c>
      <c r="O8" t="s">
        <v>61</v>
      </c>
      <c r="P8" s="5">
        <v>60.03</v>
      </c>
      <c r="Q8" t="s">
        <v>62</v>
      </c>
      <c r="R8" s="12">
        <v>54.99</v>
      </c>
    </row>
    <row r="9" spans="1:18" x14ac:dyDescent="0.25">
      <c r="A9" s="1">
        <v>7</v>
      </c>
      <c r="B9" t="s">
        <v>63</v>
      </c>
      <c r="C9" t="s">
        <v>64</v>
      </c>
      <c r="D9" t="s">
        <v>12</v>
      </c>
      <c r="E9" t="s">
        <v>65</v>
      </c>
      <c r="F9" s="5">
        <v>48.95</v>
      </c>
      <c r="G9" t="s">
        <v>66</v>
      </c>
      <c r="H9" s="5">
        <v>59.99</v>
      </c>
      <c r="I9" t="s">
        <v>67</v>
      </c>
      <c r="J9" s="5">
        <v>57.78</v>
      </c>
      <c r="K9" t="s">
        <v>68</v>
      </c>
      <c r="L9" s="5">
        <v>81.099999999999994</v>
      </c>
      <c r="M9" t="s">
        <v>69</v>
      </c>
      <c r="N9" s="9">
        <v>54.99</v>
      </c>
      <c r="O9" t="s">
        <v>70</v>
      </c>
      <c r="P9" s="5">
        <v>53.77</v>
      </c>
      <c r="Q9" t="s">
        <v>71</v>
      </c>
      <c r="R9" s="12">
        <v>53.99</v>
      </c>
    </row>
    <row r="10" spans="1:18" x14ac:dyDescent="0.25">
      <c r="A10" s="1">
        <v>8</v>
      </c>
      <c r="B10" t="s">
        <v>72</v>
      </c>
      <c r="C10" t="s">
        <v>73</v>
      </c>
      <c r="D10" t="s">
        <v>12</v>
      </c>
      <c r="E10" t="s">
        <v>74</v>
      </c>
      <c r="F10" s="5">
        <v>34.950000000000003</v>
      </c>
      <c r="G10" t="s">
        <v>75</v>
      </c>
      <c r="H10" s="9">
        <v>39.159999999999997</v>
      </c>
      <c r="I10" t="s">
        <v>76</v>
      </c>
      <c r="J10" s="5">
        <v>33.332999999999998</v>
      </c>
      <c r="K10" t="s">
        <v>77</v>
      </c>
      <c r="L10" s="5">
        <v>48.05</v>
      </c>
      <c r="M10" t="s">
        <v>78</v>
      </c>
      <c r="N10" s="9">
        <v>34.17</v>
      </c>
      <c r="O10" t="s">
        <v>79</v>
      </c>
      <c r="P10" s="5">
        <v>35.43</v>
      </c>
      <c r="Q10" t="s">
        <v>80</v>
      </c>
      <c r="R10" s="12">
        <v>35.880000000000003</v>
      </c>
    </row>
    <row r="11" spans="1:18" x14ac:dyDescent="0.25">
      <c r="A11" s="1">
        <v>9</v>
      </c>
      <c r="B11" t="s">
        <v>81</v>
      </c>
      <c r="C11" t="s">
        <v>82</v>
      </c>
      <c r="D11" t="s">
        <v>12</v>
      </c>
      <c r="E11" t="s">
        <v>83</v>
      </c>
      <c r="F11" s="5">
        <v>35.5</v>
      </c>
      <c r="G11" t="s">
        <v>84</v>
      </c>
      <c r="H11" s="5">
        <v>63.91</v>
      </c>
      <c r="I11" t="s">
        <v>85</v>
      </c>
      <c r="J11" s="5">
        <v>32</v>
      </c>
      <c r="K11" t="s">
        <v>30</v>
      </c>
      <c r="L11" s="5" t="s">
        <v>313</v>
      </c>
      <c r="M11" t="s">
        <v>86</v>
      </c>
      <c r="N11" s="9">
        <v>33.909999999999997</v>
      </c>
      <c r="O11" t="s">
        <v>87</v>
      </c>
      <c r="P11" s="5">
        <v>36.06</v>
      </c>
      <c r="Q11" t="s">
        <v>88</v>
      </c>
      <c r="R11" s="12">
        <v>36.880000000000003</v>
      </c>
    </row>
    <row r="12" spans="1:18" x14ac:dyDescent="0.25">
      <c r="A12" s="1">
        <v>10</v>
      </c>
      <c r="B12" t="s">
        <v>89</v>
      </c>
      <c r="C12" t="s">
        <v>90</v>
      </c>
      <c r="D12" t="s">
        <v>12</v>
      </c>
      <c r="E12" t="s">
        <v>91</v>
      </c>
      <c r="F12" s="5">
        <v>17.5</v>
      </c>
      <c r="G12" t="s">
        <v>92</v>
      </c>
      <c r="H12" s="5">
        <v>22.49</v>
      </c>
      <c r="I12" s="8" t="s">
        <v>49</v>
      </c>
      <c r="J12" s="9" t="s">
        <v>119</v>
      </c>
      <c r="K12" t="s">
        <v>93</v>
      </c>
      <c r="L12" s="5">
        <v>27.94</v>
      </c>
      <c r="M12" t="s">
        <v>94</v>
      </c>
      <c r="N12" s="5">
        <v>17.329999999999998</v>
      </c>
      <c r="O12" t="s">
        <v>95</v>
      </c>
      <c r="P12" s="5">
        <v>18.18</v>
      </c>
      <c r="Q12" t="s">
        <v>30</v>
      </c>
      <c r="R12" s="12" t="s">
        <v>313</v>
      </c>
    </row>
    <row r="13" spans="1:18" x14ac:dyDescent="0.25">
      <c r="A13" s="1">
        <v>11</v>
      </c>
      <c r="B13" t="s">
        <v>96</v>
      </c>
      <c r="C13" t="s">
        <v>97</v>
      </c>
      <c r="D13" t="s">
        <v>12</v>
      </c>
      <c r="E13" t="s">
        <v>98</v>
      </c>
      <c r="F13" s="5">
        <v>33.950000000000003</v>
      </c>
      <c r="G13" t="s">
        <v>99</v>
      </c>
      <c r="H13" s="9">
        <v>33.33</v>
      </c>
      <c r="I13" t="s">
        <v>100</v>
      </c>
      <c r="J13" s="5">
        <v>32.08</v>
      </c>
      <c r="K13" t="s">
        <v>101</v>
      </c>
      <c r="L13" s="5">
        <v>60.31</v>
      </c>
      <c r="M13" t="s">
        <v>102</v>
      </c>
      <c r="N13" s="5">
        <v>33.299999999999997</v>
      </c>
      <c r="O13" t="s">
        <v>103</v>
      </c>
      <c r="P13" s="5">
        <v>34.26</v>
      </c>
      <c r="Q13" t="s">
        <v>76</v>
      </c>
      <c r="R13" s="13">
        <v>33.33</v>
      </c>
    </row>
    <row r="14" spans="1:18" x14ac:dyDescent="0.25">
      <c r="A14" s="1">
        <v>12</v>
      </c>
      <c r="B14" t="s">
        <v>104</v>
      </c>
      <c r="C14" t="s">
        <v>105</v>
      </c>
      <c r="D14" t="s">
        <v>12</v>
      </c>
      <c r="E14" t="s">
        <v>30</v>
      </c>
      <c r="F14" s="5" t="s">
        <v>313</v>
      </c>
      <c r="G14" t="s">
        <v>106</v>
      </c>
      <c r="H14" s="5">
        <f>51.63*25</f>
        <v>1290.75</v>
      </c>
      <c r="I14" s="8" t="s">
        <v>107</v>
      </c>
      <c r="J14" s="5">
        <f>34*25</f>
        <v>850</v>
      </c>
      <c r="K14" s="8" t="s">
        <v>108</v>
      </c>
      <c r="L14" s="5">
        <f>49.71*25</f>
        <v>1242.75</v>
      </c>
      <c r="M14" t="s">
        <v>109</v>
      </c>
      <c r="N14" s="5">
        <f>33.88*25</f>
        <v>847.00000000000011</v>
      </c>
      <c r="O14" t="s">
        <v>110</v>
      </c>
      <c r="P14" s="5">
        <f>47.9*25</f>
        <v>1197.5</v>
      </c>
      <c r="Q14" s="8" t="s">
        <v>109</v>
      </c>
      <c r="R14" s="13">
        <f>33.88*25</f>
        <v>847.00000000000011</v>
      </c>
    </row>
    <row r="15" spans="1:18" x14ac:dyDescent="0.25">
      <c r="A15" s="1">
        <v>13</v>
      </c>
      <c r="B15" t="s">
        <v>111</v>
      </c>
      <c r="C15" t="s">
        <v>112</v>
      </c>
      <c r="D15" t="s">
        <v>12</v>
      </c>
      <c r="E15" t="s">
        <v>113</v>
      </c>
      <c r="F15" s="5">
        <v>24.95</v>
      </c>
      <c r="G15" t="s">
        <v>114</v>
      </c>
      <c r="H15" s="5">
        <v>28.59</v>
      </c>
      <c r="I15" t="s">
        <v>115</v>
      </c>
      <c r="J15" s="5">
        <v>24.58</v>
      </c>
      <c r="K15" t="s">
        <v>116</v>
      </c>
      <c r="L15" s="5">
        <v>26.13</v>
      </c>
      <c r="M15" t="s">
        <v>117</v>
      </c>
      <c r="N15" s="9">
        <v>25.87</v>
      </c>
      <c r="O15" t="s">
        <v>118</v>
      </c>
      <c r="P15" s="5">
        <v>29.72</v>
      </c>
      <c r="Q15" t="s">
        <v>119</v>
      </c>
      <c r="R15" s="12" t="s">
        <v>119</v>
      </c>
    </row>
    <row r="16" spans="1:18" x14ac:dyDescent="0.25">
      <c r="A16" s="1">
        <v>14</v>
      </c>
      <c r="B16" t="s">
        <v>120</v>
      </c>
      <c r="C16" t="s">
        <v>121</v>
      </c>
      <c r="D16" t="s">
        <v>12</v>
      </c>
      <c r="E16" t="s">
        <v>122</v>
      </c>
      <c r="F16" s="5">
        <v>27.5</v>
      </c>
      <c r="G16" t="s">
        <v>123</v>
      </c>
      <c r="H16" s="5">
        <v>27.29</v>
      </c>
      <c r="I16" t="s">
        <v>124</v>
      </c>
      <c r="J16" s="5">
        <v>24.88</v>
      </c>
      <c r="K16" t="s">
        <v>125</v>
      </c>
      <c r="L16" s="5">
        <v>28.7</v>
      </c>
      <c r="M16" t="s">
        <v>126</v>
      </c>
      <c r="N16" s="9">
        <v>27.34</v>
      </c>
      <c r="O16" t="s">
        <v>127</v>
      </c>
      <c r="P16" s="5">
        <v>27.09</v>
      </c>
      <c r="Q16" t="s">
        <v>128</v>
      </c>
      <c r="R16" s="12">
        <v>27.24</v>
      </c>
    </row>
    <row r="17" spans="1:18" x14ac:dyDescent="0.25">
      <c r="A17" s="1">
        <v>15</v>
      </c>
      <c r="B17" t="s">
        <v>129</v>
      </c>
      <c r="C17" t="s">
        <v>130</v>
      </c>
      <c r="D17" t="s">
        <v>12</v>
      </c>
      <c r="E17" t="s">
        <v>122</v>
      </c>
      <c r="F17" s="5">
        <v>27.5</v>
      </c>
      <c r="G17" t="s">
        <v>123</v>
      </c>
      <c r="H17" s="5">
        <v>27.29</v>
      </c>
      <c r="I17" t="s">
        <v>131</v>
      </c>
      <c r="J17" s="5">
        <v>25.83</v>
      </c>
      <c r="K17" t="s">
        <v>132</v>
      </c>
      <c r="L17" s="5">
        <v>28.62</v>
      </c>
      <c r="M17" t="s">
        <v>133</v>
      </c>
      <c r="N17" s="9">
        <v>26.26</v>
      </c>
      <c r="O17" t="s">
        <v>134</v>
      </c>
      <c r="P17" s="5">
        <v>26.78</v>
      </c>
      <c r="Q17" t="s">
        <v>135</v>
      </c>
      <c r="R17" s="12">
        <v>25.74</v>
      </c>
    </row>
    <row r="18" spans="1:18" x14ac:dyDescent="0.25">
      <c r="A18" s="1">
        <v>16</v>
      </c>
      <c r="B18" t="s">
        <v>136</v>
      </c>
      <c r="C18" t="s">
        <v>137</v>
      </c>
      <c r="D18" t="s">
        <v>12</v>
      </c>
      <c r="E18" t="s">
        <v>138</v>
      </c>
      <c r="F18" s="5">
        <v>21.5</v>
      </c>
      <c r="G18" t="s">
        <v>139</v>
      </c>
      <c r="H18" s="5">
        <v>21.66</v>
      </c>
      <c r="I18" t="s">
        <v>140</v>
      </c>
      <c r="J18" s="5">
        <v>21.46</v>
      </c>
      <c r="K18" t="s">
        <v>141</v>
      </c>
      <c r="L18" s="5">
        <v>24.72</v>
      </c>
      <c r="M18" t="s">
        <v>142</v>
      </c>
      <c r="N18" s="9">
        <v>22.8</v>
      </c>
      <c r="O18" t="s">
        <v>143</v>
      </c>
      <c r="P18" s="5">
        <v>23.33</v>
      </c>
      <c r="Q18" t="s">
        <v>144</v>
      </c>
      <c r="R18" s="12">
        <v>23.43</v>
      </c>
    </row>
    <row r="19" spans="1:18" x14ac:dyDescent="0.25">
      <c r="A19" s="1">
        <v>17</v>
      </c>
      <c r="B19" t="s">
        <v>145</v>
      </c>
      <c r="C19" t="s">
        <v>146</v>
      </c>
      <c r="D19" t="s">
        <v>12</v>
      </c>
      <c r="E19" t="s">
        <v>147</v>
      </c>
      <c r="F19" s="5">
        <v>41.5</v>
      </c>
      <c r="G19" t="s">
        <v>148</v>
      </c>
      <c r="H19" s="5">
        <v>43.39</v>
      </c>
      <c r="I19" t="s">
        <v>149</v>
      </c>
      <c r="J19" s="5">
        <v>36.729999999999997</v>
      </c>
      <c r="K19" t="s">
        <v>150</v>
      </c>
      <c r="L19" s="5">
        <v>43.82</v>
      </c>
      <c r="M19" t="s">
        <v>151</v>
      </c>
      <c r="N19" s="9">
        <v>40.590000000000003</v>
      </c>
      <c r="O19" t="s">
        <v>152</v>
      </c>
      <c r="P19" s="5">
        <v>41.21</v>
      </c>
      <c r="Q19" t="s">
        <v>153</v>
      </c>
      <c r="R19" s="14">
        <v>39.44</v>
      </c>
    </row>
    <row r="20" spans="1:18" x14ac:dyDescent="0.25">
      <c r="A20" s="1">
        <v>18</v>
      </c>
      <c r="B20" t="s">
        <v>154</v>
      </c>
      <c r="C20" t="s">
        <v>155</v>
      </c>
      <c r="D20" t="s">
        <v>12</v>
      </c>
      <c r="E20" t="s">
        <v>147</v>
      </c>
      <c r="F20" s="5">
        <v>41.5</v>
      </c>
      <c r="G20" t="s">
        <v>156</v>
      </c>
      <c r="H20" s="5">
        <v>42.03</v>
      </c>
      <c r="I20" t="s">
        <v>157</v>
      </c>
      <c r="J20" s="5">
        <v>38.74</v>
      </c>
      <c r="K20" t="s">
        <v>158</v>
      </c>
      <c r="L20" s="5">
        <v>43.4</v>
      </c>
      <c r="M20" t="s">
        <v>159</v>
      </c>
      <c r="N20" s="9">
        <v>39.49</v>
      </c>
      <c r="O20" t="s">
        <v>160</v>
      </c>
      <c r="P20" s="5">
        <v>41.3</v>
      </c>
      <c r="Q20" t="s">
        <v>161</v>
      </c>
      <c r="R20" s="12">
        <v>38.68</v>
      </c>
    </row>
    <row r="21" spans="1:18" x14ac:dyDescent="0.25">
      <c r="A21" s="1">
        <v>19</v>
      </c>
      <c r="B21" t="s">
        <v>162</v>
      </c>
      <c r="C21" t="s">
        <v>163</v>
      </c>
      <c r="D21" t="s">
        <v>12</v>
      </c>
      <c r="E21" t="s">
        <v>164</v>
      </c>
      <c r="F21" s="5">
        <v>37.950000000000003</v>
      </c>
      <c r="G21" t="s">
        <v>165</v>
      </c>
      <c r="H21" s="5">
        <v>39.78</v>
      </c>
      <c r="I21" t="s">
        <v>166</v>
      </c>
      <c r="J21" s="5">
        <v>35.29</v>
      </c>
      <c r="K21" t="s">
        <v>167</v>
      </c>
      <c r="L21" s="5">
        <v>40.47</v>
      </c>
      <c r="M21" t="s">
        <v>168</v>
      </c>
      <c r="N21" s="5">
        <v>38.090000000000003</v>
      </c>
      <c r="O21" t="s">
        <v>169</v>
      </c>
      <c r="P21" s="5">
        <v>38.82</v>
      </c>
      <c r="Q21" t="s">
        <v>170</v>
      </c>
      <c r="R21" s="12">
        <v>38</v>
      </c>
    </row>
    <row r="22" spans="1:18" x14ac:dyDescent="0.25">
      <c r="A22" s="1">
        <v>20</v>
      </c>
      <c r="B22" t="s">
        <v>171</v>
      </c>
      <c r="C22" t="s">
        <v>172</v>
      </c>
      <c r="D22" t="s">
        <v>12</v>
      </c>
      <c r="E22" t="s">
        <v>12</v>
      </c>
      <c r="F22" s="5" t="s">
        <v>119</v>
      </c>
      <c r="G22" t="s">
        <v>156</v>
      </c>
      <c r="H22" s="5">
        <v>34.29</v>
      </c>
      <c r="I22" t="s">
        <v>30</v>
      </c>
      <c r="J22" s="5" t="s">
        <v>313</v>
      </c>
      <c r="K22" t="s">
        <v>173</v>
      </c>
      <c r="L22" s="5" t="s">
        <v>119</v>
      </c>
      <c r="M22" t="s">
        <v>174</v>
      </c>
      <c r="N22" s="9">
        <f>832.56/30</f>
        <v>27.751999999999999</v>
      </c>
      <c r="O22" t="s">
        <v>30</v>
      </c>
      <c r="P22" s="5" t="s">
        <v>313</v>
      </c>
      <c r="Q22" t="s">
        <v>30</v>
      </c>
      <c r="R22" s="12" t="s">
        <v>313</v>
      </c>
    </row>
    <row r="23" spans="1:18" x14ac:dyDescent="0.25">
      <c r="A23" s="1">
        <v>21</v>
      </c>
      <c r="B23" t="s">
        <v>175</v>
      </c>
      <c r="C23" t="s">
        <v>176</v>
      </c>
      <c r="D23" t="s">
        <v>12</v>
      </c>
      <c r="E23" t="s">
        <v>30</v>
      </c>
      <c r="F23" s="5" t="s">
        <v>313</v>
      </c>
      <c r="G23" t="s">
        <v>177</v>
      </c>
      <c r="H23" s="5">
        <f>32.55*24</f>
        <v>781.19999999999993</v>
      </c>
      <c r="I23" t="s">
        <v>30</v>
      </c>
      <c r="J23" s="5" t="s">
        <v>313</v>
      </c>
      <c r="K23" t="s">
        <v>173</v>
      </c>
      <c r="L23" s="5" t="s">
        <v>119</v>
      </c>
      <c r="M23" t="s">
        <v>178</v>
      </c>
      <c r="N23" s="9">
        <v>650.20000000000005</v>
      </c>
      <c r="O23" t="s">
        <v>30</v>
      </c>
      <c r="P23" s="5" t="s">
        <v>313</v>
      </c>
      <c r="Q23" t="s">
        <v>30</v>
      </c>
      <c r="R23" s="12" t="s">
        <v>313</v>
      </c>
    </row>
    <row r="24" spans="1:18" x14ac:dyDescent="0.25">
      <c r="A24" s="1">
        <v>22</v>
      </c>
      <c r="B24" t="s">
        <v>179</v>
      </c>
      <c r="C24" t="s">
        <v>180</v>
      </c>
      <c r="D24" t="s">
        <v>12</v>
      </c>
      <c r="E24" t="s">
        <v>181</v>
      </c>
      <c r="F24" s="5">
        <v>649.95799999999997</v>
      </c>
      <c r="G24" t="s">
        <v>182</v>
      </c>
      <c r="H24" s="5">
        <f>33.27*24</f>
        <v>798.48</v>
      </c>
      <c r="I24" t="s">
        <v>30</v>
      </c>
      <c r="J24" s="5" t="s">
        <v>313</v>
      </c>
      <c r="K24" t="s">
        <v>173</v>
      </c>
      <c r="L24" s="5" t="s">
        <v>119</v>
      </c>
      <c r="M24" t="s">
        <v>183</v>
      </c>
      <c r="N24" s="9">
        <v>624.16</v>
      </c>
      <c r="O24" t="s">
        <v>30</v>
      </c>
      <c r="P24" s="5" t="s">
        <v>313</v>
      </c>
      <c r="Q24" t="s">
        <v>30</v>
      </c>
      <c r="R24" s="12" t="s">
        <v>313</v>
      </c>
    </row>
    <row r="25" spans="1:18" x14ac:dyDescent="0.25">
      <c r="A25" s="1">
        <v>23</v>
      </c>
      <c r="B25" t="s">
        <v>184</v>
      </c>
      <c r="C25" t="s">
        <v>185</v>
      </c>
      <c r="D25" t="s">
        <v>12</v>
      </c>
      <c r="E25" t="s">
        <v>30</v>
      </c>
      <c r="F25" s="6" t="s">
        <v>313</v>
      </c>
      <c r="G25" t="s">
        <v>186</v>
      </c>
      <c r="H25" s="6">
        <f t="shared" ref="H25:H26" si="0">52*12</f>
        <v>624</v>
      </c>
      <c r="I25" s="8" t="s">
        <v>15</v>
      </c>
      <c r="J25" s="6" t="s">
        <v>119</v>
      </c>
      <c r="K25" s="8" t="s">
        <v>187</v>
      </c>
      <c r="L25" s="6">
        <f>38.15*12</f>
        <v>457.79999999999995</v>
      </c>
      <c r="M25" t="s">
        <v>188</v>
      </c>
      <c r="N25" s="9">
        <v>466.82</v>
      </c>
      <c r="O25" t="s">
        <v>189</v>
      </c>
      <c r="P25" s="6">
        <v>570.24</v>
      </c>
      <c r="Q25" t="s">
        <v>119</v>
      </c>
      <c r="R25" s="6" t="s">
        <v>119</v>
      </c>
    </row>
    <row r="26" spans="1:18" x14ac:dyDescent="0.25">
      <c r="A26" s="1">
        <v>24</v>
      </c>
      <c r="B26" t="s">
        <v>190</v>
      </c>
      <c r="C26" t="s">
        <v>191</v>
      </c>
      <c r="D26" t="s">
        <v>12</v>
      </c>
      <c r="E26" t="s">
        <v>30</v>
      </c>
      <c r="F26" s="6" t="s">
        <v>313</v>
      </c>
      <c r="G26" t="s">
        <v>186</v>
      </c>
      <c r="H26" s="6">
        <f t="shared" si="0"/>
        <v>624</v>
      </c>
      <c r="I26" t="s">
        <v>192</v>
      </c>
      <c r="J26" s="6">
        <f>39.1*12</f>
        <v>469.20000000000005</v>
      </c>
      <c r="K26" s="8" t="s">
        <v>193</v>
      </c>
      <c r="L26" s="6">
        <f>41.43*12</f>
        <v>497.15999999999997</v>
      </c>
      <c r="M26" t="s">
        <v>194</v>
      </c>
      <c r="N26" s="9">
        <f>39.11*12</f>
        <v>469.32</v>
      </c>
      <c r="O26" t="s">
        <v>195</v>
      </c>
      <c r="P26" s="6">
        <f>44.11*12</f>
        <v>529.31999999999994</v>
      </c>
      <c r="Q26" t="s">
        <v>119</v>
      </c>
      <c r="R26" s="6" t="s">
        <v>119</v>
      </c>
    </row>
    <row r="27" spans="1:18" x14ac:dyDescent="0.25">
      <c r="A27" s="1">
        <v>25</v>
      </c>
      <c r="B27" t="s">
        <v>196</v>
      </c>
      <c r="C27" t="s">
        <v>197</v>
      </c>
      <c r="D27" t="s">
        <v>12</v>
      </c>
      <c r="E27" t="s">
        <v>198</v>
      </c>
      <c r="F27" s="6">
        <v>434.95</v>
      </c>
      <c r="G27" t="s">
        <v>199</v>
      </c>
      <c r="H27" s="10">
        <f>32.08*12</f>
        <v>384.96</v>
      </c>
      <c r="I27" t="s">
        <v>200</v>
      </c>
      <c r="J27" s="6">
        <f>34.69*12</f>
        <v>416.28</v>
      </c>
      <c r="K27" s="8" t="s">
        <v>201</v>
      </c>
      <c r="L27" s="6">
        <f>37.25*12</f>
        <v>447</v>
      </c>
      <c r="M27" t="s">
        <v>200</v>
      </c>
      <c r="N27" s="9">
        <f>34.69*12</f>
        <v>416.28</v>
      </c>
      <c r="O27" t="s">
        <v>202</v>
      </c>
      <c r="P27" s="6">
        <f>37.35*12</f>
        <v>448.20000000000005</v>
      </c>
      <c r="Q27" t="s">
        <v>119</v>
      </c>
      <c r="R27" s="6" t="s">
        <v>119</v>
      </c>
    </row>
    <row r="28" spans="1:18" x14ac:dyDescent="0.25">
      <c r="A28" s="1">
        <v>26</v>
      </c>
      <c r="B28" t="s">
        <v>203</v>
      </c>
      <c r="C28" t="s">
        <v>204</v>
      </c>
      <c r="D28" t="s">
        <v>12</v>
      </c>
      <c r="E28" t="s">
        <v>30</v>
      </c>
      <c r="F28" s="6" t="s">
        <v>313</v>
      </c>
      <c r="G28" t="s">
        <v>205</v>
      </c>
      <c r="H28" s="6">
        <f>39.13*24</f>
        <v>939.12000000000012</v>
      </c>
      <c r="I28" t="s">
        <v>206</v>
      </c>
      <c r="J28" s="7">
        <v>668.62</v>
      </c>
      <c r="K28" s="8" t="s">
        <v>207</v>
      </c>
      <c r="L28" s="6">
        <f>34.02*24</f>
        <v>816.48</v>
      </c>
      <c r="M28" t="s">
        <v>208</v>
      </c>
      <c r="N28" s="9">
        <v>677.3</v>
      </c>
      <c r="O28" t="s">
        <v>209</v>
      </c>
      <c r="P28" s="6">
        <v>747.12</v>
      </c>
      <c r="Q28" t="s">
        <v>119</v>
      </c>
      <c r="R28" s="6" t="s">
        <v>119</v>
      </c>
    </row>
    <row r="29" spans="1:18" x14ac:dyDescent="0.25">
      <c r="A29" s="1">
        <v>27</v>
      </c>
      <c r="B29" t="s">
        <v>210</v>
      </c>
      <c r="C29" t="s">
        <v>211</v>
      </c>
      <c r="D29" t="s">
        <v>12</v>
      </c>
      <c r="E29" t="s">
        <v>212</v>
      </c>
      <c r="F29" s="5">
        <v>169.95</v>
      </c>
      <c r="G29" t="s">
        <v>30</v>
      </c>
      <c r="H29" s="5" t="s">
        <v>313</v>
      </c>
      <c r="I29" t="s">
        <v>213</v>
      </c>
      <c r="J29" s="5">
        <f>25.94*6</f>
        <v>155.64000000000001</v>
      </c>
      <c r="K29" t="s">
        <v>30</v>
      </c>
      <c r="L29" s="5" t="s">
        <v>313</v>
      </c>
      <c r="M29" t="s">
        <v>214</v>
      </c>
      <c r="N29" s="9">
        <v>166.25</v>
      </c>
      <c r="O29" t="s">
        <v>215</v>
      </c>
      <c r="P29" s="5">
        <v>189.24</v>
      </c>
      <c r="Q29" t="s">
        <v>216</v>
      </c>
      <c r="R29" s="12">
        <v>160</v>
      </c>
    </row>
    <row r="30" spans="1:18" x14ac:dyDescent="0.25">
      <c r="A30" s="1">
        <v>28</v>
      </c>
      <c r="B30" t="s">
        <v>217</v>
      </c>
      <c r="C30" t="s">
        <v>218</v>
      </c>
      <c r="D30" t="s">
        <v>12</v>
      </c>
      <c r="E30" t="s">
        <v>219</v>
      </c>
      <c r="F30" s="5">
        <v>164.95</v>
      </c>
      <c r="G30" t="s">
        <v>30</v>
      </c>
      <c r="H30" s="5" t="s">
        <v>313</v>
      </c>
      <c r="I30" t="s">
        <v>220</v>
      </c>
      <c r="J30" s="5">
        <f>35.23*4</f>
        <v>140.91999999999999</v>
      </c>
      <c r="K30" t="s">
        <v>30</v>
      </c>
      <c r="L30" s="5" t="s">
        <v>313</v>
      </c>
      <c r="M30" t="s">
        <v>221</v>
      </c>
      <c r="N30" s="9">
        <v>143.41999999999999</v>
      </c>
      <c r="O30" t="s">
        <v>222</v>
      </c>
      <c r="P30" s="5">
        <v>182.32</v>
      </c>
      <c r="Q30" t="s">
        <v>223</v>
      </c>
      <c r="R30" s="6">
        <v>155</v>
      </c>
    </row>
    <row r="31" spans="1:18" x14ac:dyDescent="0.25">
      <c r="A31" s="1">
        <v>29</v>
      </c>
      <c r="B31" t="s">
        <v>224</v>
      </c>
      <c r="C31" t="s">
        <v>225</v>
      </c>
      <c r="D31" t="s">
        <v>12</v>
      </c>
      <c r="E31" t="s">
        <v>219</v>
      </c>
      <c r="F31" s="5">
        <v>164.95</v>
      </c>
      <c r="G31" t="s">
        <v>30</v>
      </c>
      <c r="H31" s="5" t="s">
        <v>313</v>
      </c>
      <c r="I31" t="s">
        <v>226</v>
      </c>
      <c r="J31" s="5">
        <f>43.68*3</f>
        <v>131.04</v>
      </c>
      <c r="K31" t="s">
        <v>30</v>
      </c>
      <c r="L31" s="5" t="s">
        <v>313</v>
      </c>
      <c r="M31" t="s">
        <v>227</v>
      </c>
      <c r="N31" s="9">
        <v>129.56</v>
      </c>
      <c r="O31" t="s">
        <v>228</v>
      </c>
      <c r="P31" s="5">
        <v>164.79</v>
      </c>
      <c r="Q31" t="s">
        <v>229</v>
      </c>
      <c r="R31" s="12">
        <v>140</v>
      </c>
    </row>
    <row r="32" spans="1:18" x14ac:dyDescent="0.25">
      <c r="A32" s="1">
        <v>30</v>
      </c>
      <c r="B32" t="s">
        <v>230</v>
      </c>
      <c r="C32" t="s">
        <v>231</v>
      </c>
      <c r="D32" t="s">
        <v>12</v>
      </c>
      <c r="E32" t="s">
        <v>212</v>
      </c>
      <c r="F32" s="5" t="s">
        <v>313</v>
      </c>
      <c r="G32" t="s">
        <v>30</v>
      </c>
      <c r="H32" s="5" t="s">
        <v>313</v>
      </c>
      <c r="I32" t="s">
        <v>232</v>
      </c>
      <c r="J32" s="5">
        <f>53.17*2</f>
        <v>106.34</v>
      </c>
      <c r="K32" t="s">
        <v>30</v>
      </c>
      <c r="L32" s="5" t="s">
        <v>313</v>
      </c>
      <c r="M32" t="s">
        <v>233</v>
      </c>
      <c r="N32" s="9">
        <v>107.58</v>
      </c>
      <c r="O32" t="s">
        <v>234</v>
      </c>
      <c r="P32" s="11">
        <v>131.96</v>
      </c>
      <c r="Q32" t="s">
        <v>235</v>
      </c>
      <c r="R32" s="15">
        <v>114</v>
      </c>
    </row>
    <row r="33" spans="1:18" x14ac:dyDescent="0.25">
      <c r="A33" s="1">
        <v>31</v>
      </c>
      <c r="B33" t="s">
        <v>236</v>
      </c>
      <c r="C33" t="s">
        <v>237</v>
      </c>
      <c r="D33" t="s">
        <v>12</v>
      </c>
      <c r="E33" t="s">
        <v>238</v>
      </c>
      <c r="F33" s="5">
        <v>159.94999999999999</v>
      </c>
      <c r="G33" t="s">
        <v>239</v>
      </c>
      <c r="H33" s="5">
        <f>37.08*4</f>
        <v>148.32</v>
      </c>
      <c r="I33" t="s">
        <v>240</v>
      </c>
      <c r="J33" s="5">
        <v>147.29</v>
      </c>
      <c r="K33" t="s">
        <v>241</v>
      </c>
      <c r="L33" s="5">
        <v>167.27</v>
      </c>
      <c r="M33" t="s">
        <v>242</v>
      </c>
      <c r="N33" s="9">
        <v>142.96</v>
      </c>
      <c r="O33" t="s">
        <v>243</v>
      </c>
      <c r="P33" s="5">
        <v>184.46</v>
      </c>
      <c r="Q33" t="s">
        <v>244</v>
      </c>
      <c r="R33" s="12">
        <v>144</v>
      </c>
    </row>
    <row r="34" spans="1:18" x14ac:dyDescent="0.25">
      <c r="A34" s="1">
        <v>32</v>
      </c>
      <c r="B34" t="s">
        <v>245</v>
      </c>
      <c r="C34" t="s">
        <v>246</v>
      </c>
      <c r="D34" t="s">
        <v>12</v>
      </c>
      <c r="E34" t="s">
        <v>247</v>
      </c>
      <c r="F34" s="5">
        <v>119.95</v>
      </c>
      <c r="G34" t="s">
        <v>248</v>
      </c>
      <c r="H34" s="5">
        <f>54.58*2</f>
        <v>109.16</v>
      </c>
      <c r="I34" t="s">
        <v>249</v>
      </c>
      <c r="J34" s="5">
        <v>109.04</v>
      </c>
      <c r="K34" t="s">
        <v>250</v>
      </c>
      <c r="L34" s="5">
        <v>118.39</v>
      </c>
      <c r="M34" t="s">
        <v>251</v>
      </c>
      <c r="N34" s="9">
        <v>101.32</v>
      </c>
      <c r="O34" t="s">
        <v>252</v>
      </c>
      <c r="P34" s="5">
        <v>137.34</v>
      </c>
      <c r="Q34" t="s">
        <v>253</v>
      </c>
      <c r="R34" s="12">
        <v>102</v>
      </c>
    </row>
    <row r="35" spans="1:18" s="2" customFormat="1" x14ac:dyDescent="0.25">
      <c r="A35" s="3">
        <v>33</v>
      </c>
      <c r="B35" s="2" t="s">
        <v>254</v>
      </c>
      <c r="C35" s="2" t="s">
        <v>255</v>
      </c>
      <c r="D35" s="4" t="s">
        <v>12</v>
      </c>
      <c r="E35" s="2" t="s">
        <v>256</v>
      </c>
      <c r="F35" s="9">
        <v>79.95</v>
      </c>
      <c r="G35" s="2" t="s">
        <v>257</v>
      </c>
      <c r="H35" s="5">
        <f>19.25*4</f>
        <v>77</v>
      </c>
      <c r="I35" s="2" t="s">
        <v>258</v>
      </c>
      <c r="J35" s="5">
        <v>77.040000000000006</v>
      </c>
      <c r="K35" s="4" t="s">
        <v>259</v>
      </c>
      <c r="L35" s="5">
        <v>106.02</v>
      </c>
      <c r="M35" s="2" t="s">
        <v>258</v>
      </c>
      <c r="N35" s="9">
        <v>77.040000000000006</v>
      </c>
      <c r="O35" s="2" t="s">
        <v>260</v>
      </c>
      <c r="P35" s="5">
        <v>89.77</v>
      </c>
      <c r="Q35" s="2" t="s">
        <v>261</v>
      </c>
      <c r="R35" s="12">
        <v>80.88</v>
      </c>
    </row>
    <row r="36" spans="1:18" x14ac:dyDescent="0.25">
      <c r="A36" s="1">
        <v>34</v>
      </c>
      <c r="B36" t="s">
        <v>262</v>
      </c>
      <c r="C36" t="s">
        <v>263</v>
      </c>
      <c r="D36" t="s">
        <v>12</v>
      </c>
      <c r="E36" t="s">
        <v>264</v>
      </c>
      <c r="F36" s="5">
        <v>9.5</v>
      </c>
      <c r="G36" t="s">
        <v>265</v>
      </c>
      <c r="H36" s="5">
        <v>9.16</v>
      </c>
      <c r="I36" t="s">
        <v>266</v>
      </c>
      <c r="J36" s="7">
        <v>8.58</v>
      </c>
      <c r="K36" t="s">
        <v>259</v>
      </c>
      <c r="L36" s="5">
        <v>9.4</v>
      </c>
      <c r="M36" t="s">
        <v>267</v>
      </c>
      <c r="N36" s="9">
        <v>9.35</v>
      </c>
      <c r="O36" t="s">
        <v>268</v>
      </c>
      <c r="P36" s="5">
        <v>9.35</v>
      </c>
      <c r="Q36" t="s">
        <v>269</v>
      </c>
      <c r="R36" s="12">
        <v>9.15</v>
      </c>
    </row>
    <row r="37" spans="1:18" x14ac:dyDescent="0.25">
      <c r="A37" s="1">
        <v>35</v>
      </c>
      <c r="B37" t="s">
        <v>270</v>
      </c>
      <c r="C37" t="s">
        <v>271</v>
      </c>
      <c r="D37" t="s">
        <v>12</v>
      </c>
      <c r="E37" t="s">
        <v>30</v>
      </c>
      <c r="F37" s="5" t="s">
        <v>313</v>
      </c>
      <c r="G37" t="s">
        <v>272</v>
      </c>
      <c r="H37" s="5">
        <v>11.25</v>
      </c>
      <c r="I37" t="s">
        <v>273</v>
      </c>
      <c r="J37" s="5">
        <v>6.42</v>
      </c>
      <c r="K37" s="4" t="s">
        <v>259</v>
      </c>
      <c r="L37" s="5">
        <v>8.58</v>
      </c>
      <c r="M37" t="s">
        <v>274</v>
      </c>
      <c r="N37" s="5">
        <v>11.4</v>
      </c>
      <c r="O37" t="s">
        <v>275</v>
      </c>
      <c r="P37" s="5">
        <v>5.99</v>
      </c>
      <c r="Q37" t="s">
        <v>276</v>
      </c>
      <c r="R37" s="12">
        <v>5.75</v>
      </c>
    </row>
    <row r="38" spans="1:18" x14ac:dyDescent="0.25">
      <c r="A38" s="1">
        <v>36</v>
      </c>
      <c r="B38" t="s">
        <v>277</v>
      </c>
      <c r="C38" t="s">
        <v>278</v>
      </c>
      <c r="D38" t="s">
        <v>12</v>
      </c>
      <c r="E38" t="s">
        <v>279</v>
      </c>
      <c r="F38" s="5">
        <v>8.9499999999999993</v>
      </c>
      <c r="G38" t="s">
        <v>265</v>
      </c>
      <c r="H38" s="5">
        <v>9.23</v>
      </c>
      <c r="I38" t="s">
        <v>280</v>
      </c>
      <c r="J38" s="5">
        <v>9.36</v>
      </c>
      <c r="K38" t="s">
        <v>259</v>
      </c>
      <c r="L38" s="5">
        <v>13.59</v>
      </c>
      <c r="M38" t="s">
        <v>281</v>
      </c>
      <c r="N38" s="5">
        <v>12.99</v>
      </c>
      <c r="O38" t="s">
        <v>282</v>
      </c>
      <c r="P38" s="5">
        <v>9.81</v>
      </c>
      <c r="Q38" t="s">
        <v>283</v>
      </c>
      <c r="R38" s="12">
        <v>14.99</v>
      </c>
    </row>
    <row r="39" spans="1:18" x14ac:dyDescent="0.25">
      <c r="A39" s="1">
        <v>37</v>
      </c>
      <c r="B39" t="s">
        <v>284</v>
      </c>
      <c r="C39" t="s">
        <v>285</v>
      </c>
      <c r="D39" t="s">
        <v>12</v>
      </c>
      <c r="E39" t="s">
        <v>286</v>
      </c>
      <c r="F39" s="5">
        <v>11.5</v>
      </c>
      <c r="G39" t="s">
        <v>287</v>
      </c>
      <c r="H39" s="5">
        <v>9.58</v>
      </c>
      <c r="I39" t="s">
        <v>288</v>
      </c>
      <c r="J39" s="5">
        <v>8.5299999999999994</v>
      </c>
      <c r="K39" t="s">
        <v>259</v>
      </c>
      <c r="L39" s="5">
        <v>9.73</v>
      </c>
      <c r="M39" t="s">
        <v>289</v>
      </c>
      <c r="N39" s="5">
        <v>10.28</v>
      </c>
      <c r="O39" t="s">
        <v>290</v>
      </c>
      <c r="P39" s="5">
        <v>9.15</v>
      </c>
      <c r="Q39" t="s">
        <v>291</v>
      </c>
      <c r="R39" s="12">
        <v>9.19</v>
      </c>
    </row>
    <row r="40" spans="1:18" x14ac:dyDescent="0.25">
      <c r="A40" s="1">
        <v>38</v>
      </c>
      <c r="B40" t="s">
        <v>292</v>
      </c>
      <c r="C40" t="s">
        <v>293</v>
      </c>
      <c r="D40" t="s">
        <v>12</v>
      </c>
      <c r="E40" t="s">
        <v>12</v>
      </c>
      <c r="F40" s="5" t="s">
        <v>119</v>
      </c>
      <c r="G40" t="s">
        <v>30</v>
      </c>
      <c r="H40" s="5" t="s">
        <v>313</v>
      </c>
      <c r="I40" t="s">
        <v>30</v>
      </c>
      <c r="J40" s="5" t="s">
        <v>313</v>
      </c>
      <c r="K40" t="s">
        <v>30</v>
      </c>
      <c r="L40" s="5" t="s">
        <v>313</v>
      </c>
      <c r="M40" t="s">
        <v>30</v>
      </c>
      <c r="N40" s="5" t="s">
        <v>313</v>
      </c>
      <c r="O40" t="s">
        <v>30</v>
      </c>
      <c r="P40" s="5" t="s">
        <v>313</v>
      </c>
      <c r="Q40" t="s">
        <v>294</v>
      </c>
      <c r="R40" s="12">
        <v>14.38</v>
      </c>
    </row>
    <row r="41" spans="1:18" x14ac:dyDescent="0.25">
      <c r="A41" s="1">
        <v>39</v>
      </c>
      <c r="B41" t="s">
        <v>295</v>
      </c>
      <c r="C41" t="s">
        <v>296</v>
      </c>
      <c r="D41" t="s">
        <v>12</v>
      </c>
      <c r="E41" t="s">
        <v>12</v>
      </c>
      <c r="F41" s="5" t="s">
        <v>119</v>
      </c>
      <c r="G41" t="s">
        <v>30</v>
      </c>
      <c r="H41" s="5" t="s">
        <v>313</v>
      </c>
      <c r="I41" t="s">
        <v>30</v>
      </c>
      <c r="J41" s="5" t="s">
        <v>313</v>
      </c>
      <c r="K41" t="s">
        <v>30</v>
      </c>
      <c r="L41" s="5" t="s">
        <v>313</v>
      </c>
      <c r="M41" t="s">
        <v>30</v>
      </c>
      <c r="N41" s="5" t="s">
        <v>313</v>
      </c>
      <c r="O41" t="s">
        <v>30</v>
      </c>
      <c r="P41" s="5" t="s">
        <v>313</v>
      </c>
      <c r="Q41" t="s">
        <v>297</v>
      </c>
      <c r="R41" s="12">
        <v>11.53</v>
      </c>
    </row>
    <row r="42" spans="1:18" x14ac:dyDescent="0.25">
      <c r="A42" s="1">
        <v>40</v>
      </c>
      <c r="B42" t="s">
        <v>298</v>
      </c>
      <c r="C42" t="s">
        <v>299</v>
      </c>
      <c r="D42" t="s">
        <v>12</v>
      </c>
      <c r="E42" t="s">
        <v>12</v>
      </c>
      <c r="F42" s="5" t="s">
        <v>119</v>
      </c>
      <c r="G42" t="s">
        <v>30</v>
      </c>
      <c r="H42" s="5" t="s">
        <v>313</v>
      </c>
      <c r="I42" t="s">
        <v>30</v>
      </c>
      <c r="J42" s="5" t="s">
        <v>313</v>
      </c>
      <c r="K42" t="s">
        <v>30</v>
      </c>
      <c r="L42" s="5" t="s">
        <v>313</v>
      </c>
      <c r="M42" t="s">
        <v>30</v>
      </c>
      <c r="N42" s="5" t="s">
        <v>313</v>
      </c>
      <c r="O42" t="s">
        <v>30</v>
      </c>
      <c r="P42" s="5" t="s">
        <v>313</v>
      </c>
      <c r="Q42" t="s">
        <v>300</v>
      </c>
      <c r="R42" s="12">
        <v>11.88</v>
      </c>
    </row>
    <row r="43" spans="1:18" x14ac:dyDescent="0.25">
      <c r="A43" s="1">
        <v>41</v>
      </c>
      <c r="B43" t="s">
        <v>301</v>
      </c>
      <c r="C43" t="s">
        <v>302</v>
      </c>
      <c r="D43" t="s">
        <v>12</v>
      </c>
      <c r="E43" t="s">
        <v>12</v>
      </c>
      <c r="F43" s="5" t="s">
        <v>119</v>
      </c>
      <c r="G43" t="s">
        <v>30</v>
      </c>
      <c r="H43" s="5" t="s">
        <v>313</v>
      </c>
      <c r="I43" t="s">
        <v>30</v>
      </c>
      <c r="J43" s="5" t="s">
        <v>313</v>
      </c>
      <c r="K43" t="s">
        <v>30</v>
      </c>
      <c r="L43" s="5" t="s">
        <v>313</v>
      </c>
      <c r="M43" t="s">
        <v>30</v>
      </c>
      <c r="N43" s="5" t="s">
        <v>313</v>
      </c>
      <c r="O43" t="s">
        <v>30</v>
      </c>
      <c r="P43" s="5" t="s">
        <v>313</v>
      </c>
      <c r="Q43" t="s">
        <v>303</v>
      </c>
      <c r="R43" s="12">
        <v>9.33</v>
      </c>
    </row>
    <row r="44" spans="1:18" x14ac:dyDescent="0.25">
      <c r="A44" s="1">
        <v>42</v>
      </c>
      <c r="B44" t="s">
        <v>304</v>
      </c>
      <c r="C44" t="s">
        <v>305</v>
      </c>
      <c r="D44" t="s">
        <v>12</v>
      </c>
      <c r="E44" t="s">
        <v>30</v>
      </c>
      <c r="F44" s="5" t="s">
        <v>313</v>
      </c>
      <c r="G44" t="s">
        <v>30</v>
      </c>
      <c r="H44" s="5" t="s">
        <v>313</v>
      </c>
      <c r="I44" t="s">
        <v>30</v>
      </c>
      <c r="J44" s="5" t="s">
        <v>313</v>
      </c>
      <c r="K44" t="s">
        <v>30</v>
      </c>
      <c r="L44" s="5" t="s">
        <v>313</v>
      </c>
      <c r="M44" t="s">
        <v>30</v>
      </c>
      <c r="N44" s="5" t="s">
        <v>313</v>
      </c>
      <c r="O44" t="s">
        <v>30</v>
      </c>
      <c r="P44" s="5" t="s">
        <v>313</v>
      </c>
      <c r="Q44" t="s">
        <v>306</v>
      </c>
      <c r="R44" s="12">
        <v>11.36</v>
      </c>
    </row>
    <row r="45" spans="1:18" x14ac:dyDescent="0.25">
      <c r="A45" s="1">
        <v>43</v>
      </c>
      <c r="B45" t="s">
        <v>307</v>
      </c>
      <c r="C45" t="s">
        <v>308</v>
      </c>
      <c r="D45" t="s">
        <v>12</v>
      </c>
      <c r="E45" t="s">
        <v>12</v>
      </c>
      <c r="F45" s="5" t="s">
        <v>119</v>
      </c>
      <c r="G45" t="s">
        <v>30</v>
      </c>
      <c r="H45" s="5" t="s">
        <v>313</v>
      </c>
      <c r="I45" t="s">
        <v>30</v>
      </c>
      <c r="J45" s="5" t="s">
        <v>313</v>
      </c>
      <c r="K45" t="s">
        <v>30</v>
      </c>
      <c r="L45" s="5" t="s">
        <v>313</v>
      </c>
      <c r="M45" t="s">
        <v>30</v>
      </c>
      <c r="N45" s="5" t="s">
        <v>313</v>
      </c>
      <c r="O45" t="s">
        <v>30</v>
      </c>
      <c r="P45" s="5" t="s">
        <v>313</v>
      </c>
      <c r="Q45" t="s">
        <v>309</v>
      </c>
      <c r="R45" s="12">
        <v>12.63</v>
      </c>
    </row>
    <row r="46" spans="1:18" x14ac:dyDescent="0.25">
      <c r="A46" s="1">
        <v>44</v>
      </c>
      <c r="B46" t="s">
        <v>310</v>
      </c>
      <c r="C46" t="s">
        <v>311</v>
      </c>
      <c r="D46" t="s">
        <v>12</v>
      </c>
      <c r="E46" t="s">
        <v>12</v>
      </c>
      <c r="F46" s="5" t="s">
        <v>119</v>
      </c>
      <c r="G46" t="s">
        <v>30</v>
      </c>
      <c r="H46" s="5" t="s">
        <v>313</v>
      </c>
      <c r="I46" s="5" t="s">
        <v>313</v>
      </c>
      <c r="J46" t="s">
        <v>30</v>
      </c>
      <c r="K46" t="s">
        <v>30</v>
      </c>
      <c r="L46" s="5" t="s">
        <v>313</v>
      </c>
      <c r="M46" t="s">
        <v>30</v>
      </c>
      <c r="N46" s="5" t="s">
        <v>313</v>
      </c>
      <c r="O46" t="s">
        <v>312</v>
      </c>
      <c r="P46" s="5" t="s">
        <v>313</v>
      </c>
      <c r="Q46" s="8"/>
      <c r="R46" s="12">
        <v>15.4</v>
      </c>
    </row>
  </sheetData>
  <conditionalFormatting sqref="J2:J14">
    <cfRule type="expression" dxfId="12" priority="9">
      <formula>J2=MIN($G1:$R1)</formula>
    </cfRule>
  </conditionalFormatting>
  <conditionalFormatting sqref="J15:J28">
    <cfRule type="expression" dxfId="11" priority="11">
      <formula>J15=MIN($G15:$R15)</formula>
    </cfRule>
  </conditionalFormatting>
  <conditionalFormatting sqref="J29:J34">
    <cfRule type="expression" dxfId="10" priority="13">
      <formula>J29=MIN($G30:$R30)</formula>
    </cfRule>
  </conditionalFormatting>
  <conditionalFormatting sqref="J35">
    <cfRule type="expression" dxfId="9" priority="15">
      <formula>J35=MIN($G38:$R38)</formula>
    </cfRule>
  </conditionalFormatting>
  <conditionalFormatting sqref="I46 J42:J45">
    <cfRule type="expression" dxfId="8" priority="16">
      <formula>I42=MIN($F46:$Q46)</formula>
    </cfRule>
  </conditionalFormatting>
  <conditionalFormatting sqref="J36:J41">
    <cfRule type="expression" dxfId="7" priority="19">
      <formula>J36=MIN($G40:$R40)</formula>
    </cfRule>
  </conditionalFormatting>
  <conditionalFormatting sqref="F2:F46">
    <cfRule type="expression" dxfId="6" priority="22">
      <formula>F2=MIN($F1:$Q1)</formula>
    </cfRule>
  </conditionalFormatting>
  <conditionalFormatting sqref="H2:H46">
    <cfRule type="expression" dxfId="4" priority="5">
      <formula>H2=MIN($F2:$M2)</formula>
    </cfRule>
  </conditionalFormatting>
  <conditionalFormatting sqref="L2:L46">
    <cfRule type="expression" dxfId="3" priority="4">
      <formula>L2=MIN($F2:$M2)</formula>
    </cfRule>
  </conditionalFormatting>
  <conditionalFormatting sqref="N2:N46">
    <cfRule type="expression" dxfId="2" priority="3">
      <formula>N2=MIN($F2:$M2)</formula>
    </cfRule>
  </conditionalFormatting>
  <conditionalFormatting sqref="P2:P46">
    <cfRule type="expression" dxfId="1" priority="2">
      <formula>P2=MIN($F2:$M2)</formula>
    </cfRule>
  </conditionalFormatting>
  <conditionalFormatting sqref="R2:R46">
    <cfRule type="expression" dxfId="0" priority="1">
      <formula>R2=MIN($F2:$M2)</formula>
    </cfRule>
  </conditionalFormatting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Tushar Bokade</cp:lastModifiedBy>
  <dcterms:created xsi:type="dcterms:W3CDTF">2025-05-15T12:22:15Z</dcterms:created>
  <dcterms:modified xsi:type="dcterms:W3CDTF">2025-05-16T13:22:03Z</dcterms:modified>
</cp:coreProperties>
</file>